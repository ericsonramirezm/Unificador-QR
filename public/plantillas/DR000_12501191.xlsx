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ugseg.sharepoint.com/sites/GrupoGT-DSI-Proyectos/Documentos compartidos/W22060 - AA - UpGrade SPCI SSEE LB (Etapa II - 2026)/08. PLANIFICACION Y CONTROL/6. Daily Report/"/>
    </mc:Choice>
  </mc:AlternateContent>
  <xr:revisionPtr revIDLastSave="0" documentId="8_{4B83B1C2-EC53-40EA-AE34-D715FCED9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" sheetId="1" r:id="rId1"/>
    <sheet name="Imágenes" sheetId="2" r:id="rId2"/>
  </sheets>
  <definedNames>
    <definedName name="_xlnm.Print_Area" localSheetId="0">DR!$B$1:$N$98</definedName>
    <definedName name="_xlnm.Print_Area" localSheetId="1">Imágenes!$B$1:$N$93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2" l="1"/>
  <c r="C90" i="2"/>
  <c r="G90" i="2"/>
  <c r="G75" i="1" l="1"/>
  <c r="G74" i="1"/>
  <c r="G73" i="1"/>
  <c r="G72" i="1"/>
  <c r="G71" i="1"/>
  <c r="G70" i="1"/>
  <c r="G69" i="1"/>
  <c r="G68" i="1"/>
  <c r="G67" i="1"/>
  <c r="G66" i="1"/>
  <c r="G65" i="1"/>
  <c r="G76" i="1" s="1"/>
  <c r="N79" i="1" s="1"/>
  <c r="G64" i="1"/>
  <c r="K35" i="1"/>
  <c r="J35" i="1"/>
  <c r="I35" i="1"/>
  <c r="H35" i="1"/>
  <c r="G35" i="1" s="1"/>
  <c r="I79" i="1"/>
  <c r="F65" i="1"/>
  <c r="F66" i="1"/>
  <c r="F67" i="1"/>
  <c r="F68" i="1"/>
  <c r="F69" i="1"/>
  <c r="F70" i="1"/>
  <c r="F71" i="1"/>
  <c r="F72" i="1"/>
  <c r="F73" i="1"/>
  <c r="F74" i="1"/>
  <c r="F75" i="1"/>
  <c r="F64" i="1"/>
  <c r="F25" i="1"/>
  <c r="F26" i="1"/>
  <c r="F27" i="1"/>
  <c r="F28" i="1"/>
  <c r="F29" i="1"/>
  <c r="F30" i="1"/>
  <c r="F31" i="1"/>
  <c r="F32" i="1"/>
  <c r="F33" i="1"/>
  <c r="F34" i="1"/>
  <c r="F35" i="1"/>
  <c r="F24" i="1"/>
  <c r="M65" i="1" l="1"/>
  <c r="C96" i="1"/>
  <c r="G96" i="1" l="1"/>
  <c r="C92" i="2"/>
  <c r="G24" i="1"/>
  <c r="G45" i="1" l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25" i="1"/>
  <c r="G26" i="1"/>
  <c r="G27" i="1"/>
  <c r="G28" i="1"/>
  <c r="G29" i="1"/>
  <c r="G30" i="1"/>
  <c r="G31" i="1"/>
  <c r="G32" i="1"/>
  <c r="G33" i="1"/>
  <c r="G34" i="1"/>
  <c r="E76" i="1"/>
  <c r="D76" i="1"/>
  <c r="N60" i="1"/>
  <c r="M60" i="1"/>
  <c r="L60" i="1"/>
  <c r="K60" i="1"/>
  <c r="J60" i="1"/>
  <c r="I60" i="1"/>
  <c r="H60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E60" i="1"/>
  <c r="D60" i="1"/>
  <c r="C60" i="1"/>
  <c r="N37" i="1"/>
  <c r="M37" i="1"/>
  <c r="L37" i="1"/>
  <c r="K37" i="1"/>
  <c r="J37" i="1"/>
  <c r="I37" i="1"/>
  <c r="H37" i="1"/>
  <c r="F36" i="1"/>
  <c r="E37" i="1"/>
  <c r="D37" i="1"/>
  <c r="L66" i="1" l="1"/>
  <c r="F60" i="1"/>
  <c r="G60" i="1"/>
  <c r="G37" i="1"/>
  <c r="F76" i="1"/>
  <c r="F37" i="1"/>
  <c r="M64" i="1" l="1"/>
  <c r="M66" i="1" s="1"/>
  <c r="D79" i="1"/>
</calcChain>
</file>

<file path=xl/sharedStrings.xml><?xml version="1.0" encoding="utf-8"?>
<sst xmlns="http://schemas.openxmlformats.org/spreadsheetml/2006/main" count="164" uniqueCount="127">
  <si>
    <t>DAILY REPORT</t>
  </si>
  <si>
    <t>Report N°</t>
  </si>
  <si>
    <t>000</t>
  </si>
  <si>
    <t>Fecha :</t>
  </si>
  <si>
    <t>Contratista:</t>
  </si>
  <si>
    <t>Wilug</t>
  </si>
  <si>
    <t xml:space="preserve">Cliente :      </t>
  </si>
  <si>
    <t>ANGLO AMERICAN LB</t>
  </si>
  <si>
    <t xml:space="preserve">Contrato:   </t>
  </si>
  <si>
    <t>Upgrade SPCI 17 Salas Eléctricas Los Bronces - Las Tórtolas</t>
  </si>
  <si>
    <t>Gerencia :</t>
  </si>
  <si>
    <t>Infraestructura y Servicio</t>
  </si>
  <si>
    <t>Superintendencia:</t>
  </si>
  <si>
    <t>Servicio a la Operacion</t>
  </si>
  <si>
    <t>Contrato N°</t>
  </si>
  <si>
    <t>HH por Día :</t>
  </si>
  <si>
    <t>Calendario de Trabajo</t>
  </si>
  <si>
    <t>8x6</t>
  </si>
  <si>
    <t>Condición Climática :</t>
  </si>
  <si>
    <t>ACTIVIDADES EJECUTADAS</t>
  </si>
  <si>
    <t>Actividades</t>
  </si>
  <si>
    <t>Área</t>
  </si>
  <si>
    <t>Descripción</t>
  </si>
  <si>
    <t>Cantidad</t>
  </si>
  <si>
    <t>Actividad N°1</t>
  </si>
  <si>
    <t>Actividad N°2</t>
  </si>
  <si>
    <t>Actividad N°3</t>
  </si>
  <si>
    <t>Actividad N°4</t>
  </si>
  <si>
    <t>FUERZA LABORAL DIRECTA</t>
  </si>
  <si>
    <t>Total</t>
  </si>
  <si>
    <t>HH Gastadas</t>
  </si>
  <si>
    <t>Cargos</t>
  </si>
  <si>
    <t>N° Contratados</t>
  </si>
  <si>
    <t>Operativos en Obra</t>
  </si>
  <si>
    <t>Permiso-Descanso</t>
  </si>
  <si>
    <t>HH Total x Act.</t>
  </si>
  <si>
    <t>Act. 1</t>
  </si>
  <si>
    <t>Act. 2</t>
  </si>
  <si>
    <t>Act. 3</t>
  </si>
  <si>
    <t>Act. 4</t>
  </si>
  <si>
    <t>Act. 5</t>
  </si>
  <si>
    <t>Act. 6</t>
  </si>
  <si>
    <t>Act. 7</t>
  </si>
  <si>
    <t>Capataz</t>
  </si>
  <si>
    <t>Soldador</t>
  </si>
  <si>
    <t>Termofusionador</t>
  </si>
  <si>
    <t>Maestro Mayor</t>
  </si>
  <si>
    <t>Rigger</t>
  </si>
  <si>
    <t>Maestro Mayor Eléctrico</t>
  </si>
  <si>
    <t xml:space="preserve">Maestro M1 </t>
  </si>
  <si>
    <t>Maestro M2 Carpintero</t>
  </si>
  <si>
    <t>Ayudante</t>
  </si>
  <si>
    <t>Maestro Mayor Estructuras</t>
  </si>
  <si>
    <t>Maestro 1ra Electrico</t>
  </si>
  <si>
    <t>Técnico Montajista</t>
  </si>
  <si>
    <t>Inicio jornada</t>
  </si>
  <si>
    <t>Fin jornada</t>
  </si>
  <si>
    <t>Horas efectivas de trabajo</t>
  </si>
  <si>
    <t>Horas perdidas de trabajo</t>
  </si>
  <si>
    <t>Entrada</t>
  </si>
  <si>
    <t>Salida</t>
  </si>
  <si>
    <t>MAQUINARIA</t>
  </si>
  <si>
    <t>HM Gastadas</t>
  </si>
  <si>
    <t>Equipos</t>
  </si>
  <si>
    <t>N° Equipos</t>
  </si>
  <si>
    <t>Mantención / Panne</t>
  </si>
  <si>
    <t>Stand-by</t>
  </si>
  <si>
    <t>Operativos</t>
  </si>
  <si>
    <t>HM Totales</t>
  </si>
  <si>
    <t>Camioneta Mitsubishi L-200</t>
  </si>
  <si>
    <t>Camión Aljibe</t>
  </si>
  <si>
    <t>Excavadora 30 ton</t>
  </si>
  <si>
    <t>Retroexcavadora</t>
  </si>
  <si>
    <t>Mini Excavadora</t>
  </si>
  <si>
    <t>Martillo Excavadora</t>
  </si>
  <si>
    <t xml:space="preserve">Rodillo Compactador 10Ton </t>
  </si>
  <si>
    <t>Rodillo Compactador Manual</t>
  </si>
  <si>
    <t>Tijera Eléctrica h=5mt</t>
  </si>
  <si>
    <t xml:space="preserve">Camión Pluma </t>
  </si>
  <si>
    <t>Camión Rampla</t>
  </si>
  <si>
    <t>Grúa 90 ton.</t>
  </si>
  <si>
    <t>Alza Hombre 15 mt</t>
  </si>
  <si>
    <t>Grupo Electrógeno 20kva</t>
  </si>
  <si>
    <t>Generador 10kva</t>
  </si>
  <si>
    <t>FUERZA LABORAL INDIRECTA</t>
  </si>
  <si>
    <t>Resumen HH Programado v/s Real</t>
  </si>
  <si>
    <t>HH ACUMULADAS</t>
  </si>
  <si>
    <t>PROGR.</t>
  </si>
  <si>
    <t>REAL</t>
  </si>
  <si>
    <t xml:space="preserve">Administrador de Contrato </t>
  </si>
  <si>
    <t>HH DIRECTOS REAL vs PROG.</t>
  </si>
  <si>
    <t>Jefe de Oficina Técnica</t>
  </si>
  <si>
    <t>HH INDIRECTOS</t>
  </si>
  <si>
    <t>Ingeniero de Calidad</t>
  </si>
  <si>
    <t>TOTAL</t>
  </si>
  <si>
    <t>Jefe de Terreno</t>
  </si>
  <si>
    <t xml:space="preserve">Supervisor </t>
  </si>
  <si>
    <t xml:space="preserve">Asesor SSOMA </t>
  </si>
  <si>
    <t>Administrativo</t>
  </si>
  <si>
    <t>Logística</t>
  </si>
  <si>
    <t xml:space="preserve">Conductor </t>
  </si>
  <si>
    <t>Topógrafo</t>
  </si>
  <si>
    <t>Coordinador de Terreno</t>
  </si>
  <si>
    <t>Total HH Directas Turno</t>
  </si>
  <si>
    <t>Total HM Turno</t>
  </si>
  <si>
    <t>Total HH Indirectas Turno</t>
  </si>
  <si>
    <t>Total HH Directas Acumuladas</t>
  </si>
  <si>
    <t>Total HM Acumuladas</t>
  </si>
  <si>
    <t>Total HH Indirectas Acumuladas</t>
  </si>
  <si>
    <t>Autor Comentarios</t>
  </si>
  <si>
    <t xml:space="preserve">COMENTARIOS DEL CONTRATISTA AL DAILY REPORT:  </t>
  </si>
  <si>
    <t xml:space="preserve">COMENTARIOS DEL CLIENTE AL DAILY REPORT:  </t>
  </si>
  <si>
    <t>COORDINADOR DE TERRENO</t>
  </si>
  <si>
    <t>ADMINISTRADOR CONTRATO</t>
  </si>
  <si>
    <t>RESPONSABLE MANDANTE</t>
  </si>
  <si>
    <t xml:space="preserve">Nombre:  </t>
  </si>
  <si>
    <t>Ericson Ramirez</t>
  </si>
  <si>
    <t xml:space="preserve">Nombre:   </t>
  </si>
  <si>
    <t>Sara Cofré</t>
  </si>
  <si>
    <t>Firma</t>
  </si>
  <si>
    <t>Fecha</t>
  </si>
  <si>
    <t xml:space="preserve">Fecha:      </t>
  </si>
  <si>
    <t>IMÁGENES</t>
  </si>
  <si>
    <t>Faena :</t>
  </si>
  <si>
    <t>Actividad N°5</t>
  </si>
  <si>
    <t>Actividad N°6</t>
  </si>
  <si>
    <t>Actividad N°7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</si>
</sst>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F400]h:mm:ss\ AM/PM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8"/>
      <color theme="1"/>
      <name val="Arial"/>
      <family val="2"/>
    </font>
    <font>
      <b/>
      <u/>
      <sz val="16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7" fillId="2" borderId="16" xfId="0" applyFont="1" applyFill="1" applyBorder="1"/>
    <xf numFmtId="0" fontId="8" fillId="0" borderId="20" xfId="0" applyFont="1" applyBorder="1" applyAlignment="1">
      <alignment horizontal="left" vertical="center" indent="1"/>
    </xf>
    <xf numFmtId="0" fontId="8" fillId="0" borderId="26" xfId="0" applyFont="1" applyBorder="1" applyAlignment="1">
      <alignment horizontal="left" vertical="center" indent="1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1" fontId="1" fillId="0" borderId="3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/>
    <xf numFmtId="0" fontId="1" fillId="0" borderId="13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5" fillId="0" borderId="16" xfId="1" applyBorder="1" applyAlignment="1">
      <alignment horizontal="left" indent="1"/>
    </xf>
    <xf numFmtId="0" fontId="5" fillId="0" borderId="20" xfId="1" applyBorder="1" applyAlignment="1">
      <alignment horizontal="left" indent="1"/>
    </xf>
    <xf numFmtId="0" fontId="5" fillId="0" borderId="26" xfId="1" applyBorder="1" applyAlignment="1">
      <alignment horizontal="left" indent="1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10" xfId="0" applyFont="1" applyBorder="1"/>
    <xf numFmtId="0" fontId="1" fillId="0" borderId="8" xfId="0" applyFont="1" applyBorder="1"/>
    <xf numFmtId="0" fontId="5" fillId="0" borderId="1" xfId="2" applyBorder="1" applyAlignment="1">
      <alignment vertical="center"/>
    </xf>
    <xf numFmtId="0" fontId="4" fillId="0" borderId="53" xfId="2" applyFont="1" applyBorder="1" applyAlignment="1">
      <alignment horizontal="center" vertical="center"/>
    </xf>
    <xf numFmtId="0" fontId="5" fillId="0" borderId="3" xfId="2" applyBorder="1" applyAlignment="1">
      <alignment vertical="center"/>
    </xf>
    <xf numFmtId="0" fontId="5" fillId="0" borderId="1" xfId="2" applyBorder="1" applyAlignment="1">
      <alignment horizontal="left" vertical="center"/>
    </xf>
    <xf numFmtId="0" fontId="5" fillId="0" borderId="4" xfId="2" applyBorder="1" applyAlignment="1">
      <alignment vertical="center"/>
    </xf>
    <xf numFmtId="0" fontId="5" fillId="0" borderId="54" xfId="2" applyBorder="1" applyAlignment="1">
      <alignment vertical="center"/>
    </xf>
    <xf numFmtId="0" fontId="5" fillId="0" borderId="5" xfId="2" applyBorder="1" applyAlignment="1">
      <alignment vertical="center"/>
    </xf>
    <xf numFmtId="0" fontId="5" fillId="0" borderId="4" xfId="2" applyBorder="1" applyAlignment="1">
      <alignment horizontal="left" vertical="center"/>
    </xf>
    <xf numFmtId="14" fontId="5" fillId="0" borderId="54" xfId="2" applyNumberFormat="1" applyBorder="1" applyAlignment="1">
      <alignment vertical="center"/>
    </xf>
    <xf numFmtId="0" fontId="5" fillId="0" borderId="11" xfId="2" applyBorder="1" applyAlignment="1">
      <alignment vertical="center"/>
    </xf>
    <xf numFmtId="0" fontId="5" fillId="0" borderId="55" xfId="2" applyBorder="1" applyAlignment="1">
      <alignment vertical="center"/>
    </xf>
    <xf numFmtId="0" fontId="5" fillId="0" borderId="12" xfId="2" applyBorder="1" applyAlignment="1">
      <alignment vertical="center"/>
    </xf>
    <xf numFmtId="0" fontId="5" fillId="0" borderId="11" xfId="2" applyBorder="1" applyAlignment="1">
      <alignment horizontal="left" vertical="center"/>
    </xf>
    <xf numFmtId="0" fontId="5" fillId="0" borderId="6" xfId="2" applyBorder="1" applyAlignment="1">
      <alignment vertical="center"/>
    </xf>
    <xf numFmtId="0" fontId="5" fillId="0" borderId="21" xfId="0" applyFont="1" applyBorder="1" applyAlignment="1">
      <alignment horizontal="left" vertical="distributed" indent="2"/>
    </xf>
    <xf numFmtId="0" fontId="5" fillId="0" borderId="22" xfId="0" applyFont="1" applyBorder="1" applyAlignment="1">
      <alignment horizontal="left" vertical="distributed" indent="2"/>
    </xf>
    <xf numFmtId="0" fontId="4" fillId="0" borderId="53" xfId="2" applyFont="1" applyBorder="1" applyAlignment="1">
      <alignment horizontal="left" vertical="center"/>
    </xf>
    <xf numFmtId="14" fontId="13" fillId="0" borderId="54" xfId="2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2" fillId="0" borderId="30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1" fillId="0" borderId="3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5" xfId="0" applyNumberFormat="1" applyFont="1" applyBorder="1" applyAlignment="1">
      <alignment horizontal="center" vertical="center"/>
    </xf>
    <xf numFmtId="165" fontId="14" fillId="0" borderId="49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165" fontId="14" fillId="0" borderId="40" xfId="0" applyNumberFormat="1" applyFont="1" applyBorder="1" applyAlignment="1">
      <alignment horizontal="center" vertical="center"/>
    </xf>
    <xf numFmtId="165" fontId="14" fillId="0" borderId="52" xfId="0" applyNumberFormat="1" applyFont="1" applyBorder="1" applyAlignment="1">
      <alignment horizontal="center" vertical="center"/>
    </xf>
    <xf numFmtId="165" fontId="14" fillId="0" borderId="31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3" fontId="11" fillId="0" borderId="47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1" fillId="0" borderId="60" xfId="0" applyFont="1" applyBorder="1"/>
    <xf numFmtId="0" fontId="1" fillId="0" borderId="61" xfId="0" applyFont="1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1" fontId="1" fillId="0" borderId="32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/>
    </xf>
    <xf numFmtId="0" fontId="4" fillId="0" borderId="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1" fillId="0" borderId="50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9" fillId="0" borderId="1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3" fontId="11" fillId="0" borderId="46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left" indent="1"/>
    </xf>
    <xf numFmtId="0" fontId="1" fillId="0" borderId="19" xfId="0" applyFont="1" applyBorder="1" applyAlignment="1">
      <alignment horizontal="left" indent="1"/>
    </xf>
    <xf numFmtId="0" fontId="1" fillId="0" borderId="18" xfId="0" applyFont="1" applyBorder="1" applyAlignment="1">
      <alignment horizontal="left" indent="1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distributed" indent="2"/>
    </xf>
    <xf numFmtId="0" fontId="5" fillId="0" borderId="22" xfId="0" applyFont="1" applyBorder="1" applyAlignment="1">
      <alignment horizontal="left" vertical="distributed" indent="2"/>
    </xf>
    <xf numFmtId="0" fontId="8" fillId="0" borderId="10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5" fillId="0" borderId="39" xfId="1" applyBorder="1" applyAlignment="1">
      <alignment horizontal="left" indent="2"/>
    </xf>
    <xf numFmtId="0" fontId="5" fillId="0" borderId="25" xfId="1" applyBorder="1" applyAlignment="1">
      <alignment horizontal="left" indent="2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distributed" indent="2"/>
    </xf>
    <xf numFmtId="0" fontId="5" fillId="0" borderId="18" xfId="0" applyFont="1" applyBorder="1" applyAlignment="1">
      <alignment horizontal="left" vertical="distributed" indent="2"/>
    </xf>
    <xf numFmtId="0" fontId="5" fillId="0" borderId="33" xfId="1" applyBorder="1" applyAlignment="1">
      <alignment horizontal="left" indent="2"/>
    </xf>
    <xf numFmtId="0" fontId="5" fillId="0" borderId="34" xfId="1" applyBorder="1" applyAlignment="1">
      <alignment horizontal="left" indent="2"/>
    </xf>
    <xf numFmtId="0" fontId="5" fillId="0" borderId="21" xfId="1" applyBorder="1" applyAlignment="1">
      <alignment horizontal="left" indent="2"/>
    </xf>
    <xf numFmtId="0" fontId="5" fillId="0" borderId="22" xfId="1" applyBorder="1" applyAlignment="1">
      <alignment horizontal="left" indent="2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4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indent="1"/>
    </xf>
    <xf numFmtId="0" fontId="1" fillId="0" borderId="38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0" borderId="1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21" xfId="0" applyFont="1" applyBorder="1" applyAlignment="1"/>
    <xf numFmtId="0" fontId="1" fillId="0" borderId="24" xfId="0" applyFont="1" applyBorder="1" applyAlignment="1"/>
    <xf numFmtId="0" fontId="1" fillId="0" borderId="27" xfId="0" applyFont="1" applyBorder="1" applyAlignment="1"/>
    <xf numFmtId="0" fontId="1" fillId="0" borderId="51" xfId="0" applyFont="1" applyBorder="1" applyAlignment="1"/>
    <xf numFmtId="0" fontId="1" fillId="0" borderId="44" xfId="0" applyFont="1" applyBorder="1" applyAlignment="1">
      <alignment horizontal="left" vertical="center" wrapText="1" indent="1"/>
    </xf>
  </cellXfs>
  <cellStyles count="3">
    <cellStyle name="Cancel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93647967187448"/>
          <c:y val="7.5313807531380811E-2"/>
          <c:w val="0.78723567826562135"/>
          <c:h val="0.693903491975564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DR!$M$63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92E19"/>
            </a:solidFill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DR!$I$64:$I$65</c:f>
              <c:strCache>
                <c:ptCount val="2"/>
                <c:pt idx="0">
                  <c:v>HH DIRECTOS REAL vs PROG.</c:v>
                </c:pt>
                <c:pt idx="1">
                  <c:v>HH INDIRECTOS</c:v>
                </c:pt>
              </c:strCache>
            </c:strRef>
          </c:cat>
          <c:val>
            <c:numRef>
              <c:f>DR!$M$64:$M$65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E-43D2-BF46-56A54817E06D}"/>
            </c:ext>
          </c:extLst>
        </c:ser>
        <c:ser>
          <c:idx val="1"/>
          <c:order val="1"/>
          <c:tx>
            <c:strRef>
              <c:f>DR!$L$63</c:f>
              <c:strCache>
                <c:ptCount val="1"/>
                <c:pt idx="0">
                  <c:v>PROGR.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DR!$I$64:$I$65</c:f>
              <c:strCache>
                <c:ptCount val="2"/>
                <c:pt idx="0">
                  <c:v>HH DIRECTOS REAL vs PROG.</c:v>
                </c:pt>
                <c:pt idx="1">
                  <c:v>HH INDIRECTOS</c:v>
                </c:pt>
              </c:strCache>
            </c:strRef>
          </c:cat>
          <c:val>
            <c:numRef>
              <c:f>DR!$L$66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E-43D2-BF46-56A54817E0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030391072"/>
        <c:axId val="-1030388352"/>
      </c:barChart>
      <c:catAx>
        <c:axId val="-103039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-1030388352"/>
        <c:crosses val="autoZero"/>
        <c:auto val="1"/>
        <c:lblAlgn val="ctr"/>
        <c:lblOffset val="100"/>
        <c:noMultiLvlLbl val="0"/>
      </c:catAx>
      <c:valAx>
        <c:axId val="-103038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L"/>
          </a:p>
        </c:txPr>
        <c:crossAx val="-10303910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140771816565144"/>
          <c:y val="0.87711306177403092"/>
          <c:w val="0.4767667051870621"/>
          <c:h val="0.122887190859184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1</xdr:row>
      <xdr:rowOff>26640</xdr:rowOff>
    </xdr:from>
    <xdr:to>
      <xdr:col>2</xdr:col>
      <xdr:colOff>281275</xdr:colOff>
      <xdr:row>3</xdr:row>
      <xdr:rowOff>34004</xdr:rowOff>
    </xdr:to>
    <xdr:pic>
      <xdr:nvPicPr>
        <xdr:cNvPr id="3" name="Picture 1" descr="LOGO_ANGLO_COLOR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799" y="201900"/>
          <a:ext cx="2027525" cy="465834"/>
        </a:xfrm>
        <a:prstGeom prst="rect">
          <a:avLst/>
        </a:prstGeom>
      </xdr:spPr>
    </xdr:pic>
    <xdr:clientData/>
  </xdr:twoCellAnchor>
  <xdr:twoCellAnchor>
    <xdr:from>
      <xdr:col>7</xdr:col>
      <xdr:colOff>941916</xdr:colOff>
      <xdr:row>66</xdr:row>
      <xdr:rowOff>51372</xdr:rowOff>
    </xdr:from>
    <xdr:to>
      <xdr:col>13</xdr:col>
      <xdr:colOff>0</xdr:colOff>
      <xdr:row>77</xdr:row>
      <xdr:rowOff>42387</xdr:rowOff>
    </xdr:to>
    <xdr:graphicFrame macro="">
      <xdr:nvGraphicFramePr>
        <xdr:cNvPr id="4" name="Chart 26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232833</xdr:colOff>
      <xdr:row>0</xdr:row>
      <xdr:rowOff>95249</xdr:rowOff>
    </xdr:from>
    <xdr:to>
      <xdr:col>13</xdr:col>
      <xdr:colOff>473429</xdr:colOff>
      <xdr:row>3</xdr:row>
      <xdr:rowOff>110207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4DDDCA-C3EC-4613-9F2B-92D08BDF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9916" y="95249"/>
          <a:ext cx="1842205" cy="66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1</xdr:row>
      <xdr:rowOff>26640</xdr:rowOff>
    </xdr:from>
    <xdr:to>
      <xdr:col>2</xdr:col>
      <xdr:colOff>281274</xdr:colOff>
      <xdr:row>3</xdr:row>
      <xdr:rowOff>34004</xdr:rowOff>
    </xdr:to>
    <xdr:pic>
      <xdr:nvPicPr>
        <xdr:cNvPr id="2" name="Picture 1" descr="LOGO_ANGLO_COLOR.bmp">
          <a:extLst>
            <a:ext uri="{FF2B5EF4-FFF2-40B4-BE49-F238E27FC236}">
              <a16:creationId xmlns:a16="http://schemas.microsoft.com/office/drawing/2014/main" id="{E905A388-7DBE-422F-9707-2CE01E42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66749" y="207615"/>
          <a:ext cx="1979900" cy="477264"/>
        </a:xfrm>
        <a:prstGeom prst="rect">
          <a:avLst/>
        </a:prstGeom>
      </xdr:spPr>
    </xdr:pic>
    <xdr:clientData/>
  </xdr:twoCellAnchor>
  <xdr:twoCellAnchor editAs="oneCell">
    <xdr:from>
      <xdr:col>11</xdr:col>
      <xdr:colOff>246945</xdr:colOff>
      <xdr:row>0</xdr:row>
      <xdr:rowOff>134055</xdr:rowOff>
    </xdr:from>
    <xdr:to>
      <xdr:col>13</xdr:col>
      <xdr:colOff>550335</xdr:colOff>
      <xdr:row>3</xdr:row>
      <xdr:rowOff>152188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6832EE-605D-4502-BE4E-4DDB385A9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7556" y="134055"/>
          <a:ext cx="1852437" cy="681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99"/>
  <sheetViews>
    <sheetView showGridLines="0" tabSelected="1" view="pageBreakPreview" topLeftCell="A80" zoomScale="90" zoomScaleNormal="90" zoomScaleSheetLayoutView="90" workbookViewId="0">
      <selection activeCell="D36" sqref="D36"/>
    </sheetView>
  </sheetViews>
  <sheetFormatPr defaultColWidth="11.5703125" defaultRowHeight="14.25"/>
  <cols>
    <col min="1" max="1" width="4.28515625" style="4" customWidth="1"/>
    <col min="2" max="2" width="27.28515625" style="4" customWidth="1"/>
    <col min="3" max="3" width="12.140625" style="4" customWidth="1"/>
    <col min="4" max="4" width="12.5703125" style="4" customWidth="1"/>
    <col min="5" max="6" width="11.5703125" style="4"/>
    <col min="7" max="7" width="16.42578125" style="4" customWidth="1"/>
    <col min="8" max="8" width="14.28515625" style="4" customWidth="1"/>
    <col min="9" max="9" width="17.85546875" style="4" customWidth="1"/>
    <col min="10" max="10" width="11.5703125" style="4"/>
    <col min="11" max="11" width="12.140625" style="4" customWidth="1"/>
    <col min="12" max="12" width="11.5703125" style="4"/>
    <col min="13" max="13" width="12.42578125" style="4" customWidth="1"/>
    <col min="14" max="14" width="11.5703125" style="4"/>
    <col min="15" max="15" width="4.7109375" style="4" customWidth="1"/>
    <col min="16" max="16384" width="11.5703125" style="4"/>
  </cols>
  <sheetData>
    <row r="1" spans="2:14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2:14">
      <c r="B2" s="5"/>
      <c r="N2" s="6"/>
    </row>
    <row r="3" spans="2:14" ht="23.25">
      <c r="B3" s="5"/>
      <c r="D3" s="180" t="s">
        <v>0</v>
      </c>
      <c r="E3" s="180"/>
      <c r="F3" s="180"/>
      <c r="G3" s="180"/>
      <c r="H3" s="180"/>
      <c r="I3" s="180"/>
      <c r="J3" s="180"/>
      <c r="K3" s="180"/>
      <c r="N3" s="6"/>
    </row>
    <row r="4" spans="2:14" ht="21" thickBot="1">
      <c r="B4" s="5"/>
      <c r="D4" s="7"/>
      <c r="E4" s="7"/>
      <c r="F4" s="7"/>
      <c r="G4" s="7"/>
      <c r="H4" s="7"/>
      <c r="I4" s="8"/>
      <c r="J4" s="8"/>
      <c r="K4" s="8"/>
      <c r="L4" s="8"/>
      <c r="N4" s="6"/>
    </row>
    <row r="5" spans="2:14" ht="15.75" customHeight="1" thickBot="1">
      <c r="B5" s="110" t="s">
        <v>1</v>
      </c>
      <c r="C5" s="189" t="s">
        <v>2</v>
      </c>
      <c r="D5" s="178"/>
      <c r="E5" s="178"/>
      <c r="F5" s="178"/>
      <c r="G5" s="178"/>
      <c r="H5" s="179"/>
      <c r="I5" s="111" t="s">
        <v>3</v>
      </c>
      <c r="J5" s="190"/>
      <c r="K5" s="178"/>
      <c r="L5" s="178"/>
      <c r="M5" s="178"/>
      <c r="N5" s="179"/>
    </row>
    <row r="6" spans="2:14" ht="15.75" customHeight="1" thickBot="1">
      <c r="B6" s="112" t="s">
        <v>4</v>
      </c>
      <c r="C6" s="177" t="s">
        <v>5</v>
      </c>
      <c r="D6" s="178"/>
      <c r="E6" s="178"/>
      <c r="F6" s="178"/>
      <c r="G6" s="178"/>
      <c r="H6" s="179"/>
      <c r="I6" s="111" t="s">
        <v>6</v>
      </c>
      <c r="J6" s="177" t="s">
        <v>7</v>
      </c>
      <c r="K6" s="178"/>
      <c r="L6" s="178"/>
      <c r="M6" s="178"/>
      <c r="N6" s="179"/>
    </row>
    <row r="7" spans="2:14" ht="14.45" customHeight="1" thickBot="1">
      <c r="B7" s="181" t="s">
        <v>8</v>
      </c>
      <c r="C7" s="183" t="s">
        <v>9</v>
      </c>
      <c r="D7" s="184"/>
      <c r="E7" s="184"/>
      <c r="F7" s="184"/>
      <c r="G7" s="184"/>
      <c r="H7" s="185"/>
      <c r="I7" s="111" t="s">
        <v>10</v>
      </c>
      <c r="J7" s="177" t="s">
        <v>11</v>
      </c>
      <c r="K7" s="178"/>
      <c r="L7" s="178"/>
      <c r="M7" s="178"/>
      <c r="N7" s="179"/>
    </row>
    <row r="8" spans="2:14" ht="14.45" customHeight="1" thickBot="1">
      <c r="B8" s="182"/>
      <c r="C8" s="186"/>
      <c r="D8" s="187"/>
      <c r="E8" s="187"/>
      <c r="F8" s="187"/>
      <c r="G8" s="187"/>
      <c r="H8" s="188"/>
      <c r="I8" s="111" t="s">
        <v>12</v>
      </c>
      <c r="J8" s="178" t="s">
        <v>13</v>
      </c>
      <c r="K8" s="178"/>
      <c r="L8" s="178"/>
      <c r="M8" s="178"/>
      <c r="N8" s="179"/>
    </row>
    <row r="9" spans="2:14" ht="15" customHeight="1">
      <c r="B9" s="113" t="s">
        <v>14</v>
      </c>
      <c r="C9" s="177">
        <v>12501191</v>
      </c>
      <c r="D9" s="178"/>
      <c r="E9" s="178"/>
      <c r="F9" s="178"/>
      <c r="G9" s="178"/>
      <c r="H9" s="179"/>
      <c r="I9" s="111" t="s">
        <v>15</v>
      </c>
      <c r="J9" s="177">
        <v>10</v>
      </c>
      <c r="K9" s="178"/>
      <c r="L9" s="178"/>
      <c r="M9" s="178"/>
      <c r="N9" s="179"/>
    </row>
    <row r="10" spans="2:14" ht="15" customHeight="1">
      <c r="B10" s="111" t="s">
        <v>16</v>
      </c>
      <c r="C10" s="177" t="s">
        <v>17</v>
      </c>
      <c r="D10" s="178"/>
      <c r="E10" s="178"/>
      <c r="F10" s="178"/>
      <c r="G10" s="178"/>
      <c r="H10" s="179"/>
      <c r="I10" s="191" t="s">
        <v>18</v>
      </c>
      <c r="J10" s="192"/>
      <c r="K10" s="177"/>
      <c r="L10" s="178"/>
      <c r="M10" s="178"/>
      <c r="N10" s="179"/>
    </row>
    <row r="11" spans="2:14" ht="15" customHeight="1">
      <c r="B11" s="113" t="s">
        <v>123</v>
      </c>
      <c r="C11" s="177"/>
      <c r="D11" s="178"/>
      <c r="E11" s="178"/>
      <c r="F11" s="178"/>
      <c r="G11" s="178"/>
      <c r="H11" s="179"/>
      <c r="N11" s="6"/>
    </row>
    <row r="12" spans="2:14" ht="16.899999999999999" customHeight="1" thickBot="1">
      <c r="B12" s="193" t="s">
        <v>19</v>
      </c>
      <c r="C12" s="194"/>
      <c r="D12" s="195"/>
      <c r="N12" s="6"/>
    </row>
    <row r="13" spans="2:14" ht="15.75" customHeight="1" thickBot="1">
      <c r="B13" s="9" t="s">
        <v>20</v>
      </c>
      <c r="C13" s="196" t="s">
        <v>21</v>
      </c>
      <c r="D13" s="197"/>
      <c r="E13" s="198" t="s">
        <v>22</v>
      </c>
      <c r="F13" s="199"/>
      <c r="G13" s="199"/>
      <c r="H13" s="199"/>
      <c r="I13" s="199"/>
      <c r="J13" s="199"/>
      <c r="K13" s="199"/>
      <c r="L13" s="199"/>
      <c r="M13" s="199"/>
      <c r="N13" s="69" t="s">
        <v>23</v>
      </c>
    </row>
    <row r="14" spans="2:14" ht="18" customHeight="1">
      <c r="B14" s="10" t="s">
        <v>24</v>
      </c>
      <c r="C14" s="144"/>
      <c r="D14" s="172"/>
      <c r="E14" s="175"/>
      <c r="F14" s="175"/>
      <c r="G14" s="175"/>
      <c r="H14" s="175"/>
      <c r="I14" s="175"/>
      <c r="J14" s="175"/>
      <c r="K14" s="175"/>
      <c r="L14" s="175"/>
      <c r="M14" s="175"/>
      <c r="N14" s="71"/>
    </row>
    <row r="15" spans="2:14" ht="18" customHeight="1">
      <c r="B15" s="10" t="s">
        <v>25</v>
      </c>
      <c r="C15" s="144"/>
      <c r="D15" s="172"/>
      <c r="E15" s="176"/>
      <c r="F15" s="176"/>
      <c r="G15" s="176"/>
      <c r="H15" s="176"/>
      <c r="I15" s="176"/>
      <c r="J15" s="176"/>
      <c r="K15" s="176"/>
      <c r="L15" s="176"/>
      <c r="M15" s="176"/>
      <c r="N15" s="72"/>
    </row>
    <row r="16" spans="2:14" ht="18" customHeight="1">
      <c r="B16" s="10" t="s">
        <v>26</v>
      </c>
      <c r="C16" s="144"/>
      <c r="D16" s="172"/>
      <c r="E16" s="176"/>
      <c r="F16" s="176"/>
      <c r="G16" s="176"/>
      <c r="H16" s="176"/>
      <c r="I16" s="176"/>
      <c r="J16" s="176"/>
      <c r="K16" s="176"/>
      <c r="L16" s="176"/>
      <c r="M16" s="176"/>
      <c r="N16" s="72"/>
    </row>
    <row r="17" spans="2:14" ht="18" customHeight="1">
      <c r="B17" s="10" t="s">
        <v>27</v>
      </c>
      <c r="C17" s="144"/>
      <c r="D17" s="172"/>
      <c r="E17" s="176"/>
      <c r="F17" s="176"/>
      <c r="G17" s="176"/>
      <c r="H17" s="176"/>
      <c r="I17" s="176"/>
      <c r="J17" s="176"/>
      <c r="K17" s="176"/>
      <c r="L17" s="176"/>
      <c r="M17" s="176"/>
      <c r="N17" s="72"/>
    </row>
    <row r="18" spans="2:14" ht="18" customHeight="1">
      <c r="B18" s="10" t="s">
        <v>124</v>
      </c>
      <c r="C18" s="144"/>
      <c r="D18" s="172"/>
      <c r="E18" s="176"/>
      <c r="F18" s="176"/>
      <c r="G18" s="176"/>
      <c r="H18" s="176"/>
      <c r="I18" s="176"/>
      <c r="J18" s="176"/>
      <c r="K18" s="176"/>
      <c r="L18" s="176"/>
      <c r="M18" s="176"/>
      <c r="N18" s="72"/>
    </row>
    <row r="19" spans="2:14" ht="18" customHeight="1">
      <c r="B19" s="10" t="s">
        <v>125</v>
      </c>
      <c r="C19" s="144"/>
      <c r="D19" s="172"/>
      <c r="E19" s="176"/>
      <c r="F19" s="176"/>
      <c r="G19" s="176"/>
      <c r="H19" s="176"/>
      <c r="I19" s="176"/>
      <c r="J19" s="176"/>
      <c r="K19" s="176"/>
      <c r="L19" s="176"/>
      <c r="M19" s="176"/>
      <c r="N19" s="72"/>
    </row>
    <row r="20" spans="2:14" ht="18" customHeight="1" thickBot="1">
      <c r="B20" s="11" t="s">
        <v>126</v>
      </c>
      <c r="C20" s="168"/>
      <c r="D20" s="169"/>
      <c r="E20" s="213"/>
      <c r="F20" s="213"/>
      <c r="G20" s="213"/>
      <c r="H20" s="213"/>
      <c r="I20" s="213"/>
      <c r="J20" s="213"/>
      <c r="K20" s="213"/>
      <c r="L20" s="213"/>
      <c r="M20" s="213"/>
      <c r="N20" s="73"/>
    </row>
    <row r="21" spans="2:14" ht="15" thickBot="1"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3"/>
    </row>
    <row r="22" spans="2:14" ht="15" customHeight="1" thickBot="1">
      <c r="B22" s="170" t="s">
        <v>28</v>
      </c>
      <c r="C22" s="171"/>
      <c r="D22" s="126" t="s">
        <v>29</v>
      </c>
      <c r="E22" s="127"/>
      <c r="F22" s="127"/>
      <c r="G22" s="128"/>
      <c r="H22" s="126" t="s">
        <v>30</v>
      </c>
      <c r="I22" s="127"/>
      <c r="J22" s="127"/>
      <c r="K22" s="127"/>
      <c r="L22" s="127"/>
      <c r="M22" s="127"/>
      <c r="N22" s="128"/>
    </row>
    <row r="23" spans="2:14" ht="28.5">
      <c r="B23" s="159" t="s">
        <v>31</v>
      </c>
      <c r="C23" s="160"/>
      <c r="D23" s="14" t="s">
        <v>32</v>
      </c>
      <c r="E23" s="109" t="s">
        <v>33</v>
      </c>
      <c r="F23" s="109" t="s">
        <v>34</v>
      </c>
      <c r="G23" s="16" t="s">
        <v>35</v>
      </c>
      <c r="H23" s="17" t="s">
        <v>36</v>
      </c>
      <c r="I23" s="17" t="s">
        <v>37</v>
      </c>
      <c r="J23" s="17" t="s">
        <v>38</v>
      </c>
      <c r="K23" s="17" t="s">
        <v>39</v>
      </c>
      <c r="L23" s="17" t="s">
        <v>40</v>
      </c>
      <c r="M23" s="17" t="s">
        <v>41</v>
      </c>
      <c r="N23" s="18" t="s">
        <v>42</v>
      </c>
    </row>
    <row r="24" spans="2:14" ht="14.45" customHeight="1">
      <c r="B24" s="164" t="s">
        <v>43</v>
      </c>
      <c r="C24" s="165"/>
      <c r="D24" s="74">
        <v>0</v>
      </c>
      <c r="E24" s="75">
        <v>0</v>
      </c>
      <c r="F24" s="74">
        <f>+D24-E24</f>
        <v>0</v>
      </c>
      <c r="G24" s="70">
        <f t="shared" ref="G24:G36" si="0">+SUM(H24:N24)</f>
        <v>0</v>
      </c>
      <c r="H24" s="77"/>
      <c r="I24" s="77"/>
      <c r="J24" s="77"/>
      <c r="K24" s="78"/>
      <c r="L24" s="77"/>
      <c r="M24" s="78"/>
      <c r="N24" s="79"/>
    </row>
    <row r="25" spans="2:14">
      <c r="B25" s="157" t="s">
        <v>44</v>
      </c>
      <c r="C25" s="158"/>
      <c r="D25" s="19">
        <v>0</v>
      </c>
      <c r="E25" s="76">
        <v>0</v>
      </c>
      <c r="F25" s="74">
        <f t="shared" ref="F25:F35" si="1">+D25-E25</f>
        <v>0</v>
      </c>
      <c r="G25" s="70">
        <f t="shared" si="0"/>
        <v>0</v>
      </c>
      <c r="H25" s="80"/>
      <c r="I25" s="78"/>
      <c r="J25" s="78"/>
      <c r="K25" s="77"/>
      <c r="L25" s="78"/>
      <c r="M25" s="78"/>
      <c r="N25" s="79"/>
    </row>
    <row r="26" spans="2:14">
      <c r="B26" s="157" t="s">
        <v>45</v>
      </c>
      <c r="C26" s="158"/>
      <c r="D26" s="19">
        <v>0</v>
      </c>
      <c r="E26" s="76">
        <v>0</v>
      </c>
      <c r="F26" s="74">
        <f t="shared" si="1"/>
        <v>0</v>
      </c>
      <c r="G26" s="70">
        <f t="shared" si="0"/>
        <v>0</v>
      </c>
      <c r="H26" s="80"/>
      <c r="I26" s="78"/>
      <c r="J26" s="78"/>
      <c r="K26" s="78"/>
      <c r="L26" s="80"/>
      <c r="M26" s="78"/>
      <c r="N26" s="79"/>
    </row>
    <row r="27" spans="2:14">
      <c r="B27" s="157" t="s">
        <v>46</v>
      </c>
      <c r="C27" s="158"/>
      <c r="D27" s="19">
        <v>0</v>
      </c>
      <c r="E27" s="76">
        <v>0</v>
      </c>
      <c r="F27" s="74">
        <f t="shared" si="1"/>
        <v>0</v>
      </c>
      <c r="G27" s="70">
        <f t="shared" si="0"/>
        <v>0</v>
      </c>
      <c r="H27" s="80"/>
      <c r="I27" s="78"/>
      <c r="J27" s="78"/>
      <c r="K27" s="78"/>
      <c r="L27" s="80"/>
      <c r="M27" s="78"/>
      <c r="N27" s="79"/>
    </row>
    <row r="28" spans="2:14">
      <c r="B28" s="157" t="s">
        <v>47</v>
      </c>
      <c r="C28" s="158"/>
      <c r="D28" s="19">
        <v>0</v>
      </c>
      <c r="E28" s="76">
        <v>0</v>
      </c>
      <c r="F28" s="74">
        <f t="shared" si="1"/>
        <v>0</v>
      </c>
      <c r="G28" s="70">
        <f t="shared" si="0"/>
        <v>0</v>
      </c>
      <c r="H28" s="80"/>
      <c r="I28" s="78"/>
      <c r="J28" s="80"/>
      <c r="K28" s="78"/>
      <c r="L28" s="80"/>
      <c r="M28" s="78"/>
      <c r="N28" s="79"/>
    </row>
    <row r="29" spans="2:14">
      <c r="B29" s="157" t="s">
        <v>48</v>
      </c>
      <c r="C29" s="158"/>
      <c r="D29" s="19">
        <v>0</v>
      </c>
      <c r="E29" s="76">
        <v>0</v>
      </c>
      <c r="F29" s="74">
        <f t="shared" si="1"/>
        <v>0</v>
      </c>
      <c r="G29" s="70">
        <f t="shared" si="0"/>
        <v>0</v>
      </c>
      <c r="H29" s="80"/>
      <c r="I29" s="78"/>
      <c r="J29" s="80"/>
      <c r="K29" s="78"/>
      <c r="L29" s="80"/>
      <c r="M29" s="78"/>
      <c r="N29" s="79"/>
    </row>
    <row r="30" spans="2:14">
      <c r="B30" s="166" t="s">
        <v>49</v>
      </c>
      <c r="C30" s="167"/>
      <c r="D30" s="19">
        <v>0</v>
      </c>
      <c r="E30" s="76">
        <v>0</v>
      </c>
      <c r="F30" s="74">
        <f t="shared" si="1"/>
        <v>0</v>
      </c>
      <c r="G30" s="70">
        <f t="shared" si="0"/>
        <v>0</v>
      </c>
      <c r="H30" s="77"/>
      <c r="I30" s="77"/>
      <c r="J30" s="77"/>
      <c r="K30" s="78"/>
      <c r="L30" s="77"/>
      <c r="M30" s="78"/>
      <c r="N30" s="79"/>
    </row>
    <row r="31" spans="2:14">
      <c r="B31" s="166" t="s">
        <v>50</v>
      </c>
      <c r="C31" s="167"/>
      <c r="D31" s="19">
        <v>0</v>
      </c>
      <c r="E31" s="76">
        <v>0</v>
      </c>
      <c r="F31" s="74">
        <f t="shared" si="1"/>
        <v>0</v>
      </c>
      <c r="G31" s="70">
        <f t="shared" si="0"/>
        <v>0</v>
      </c>
      <c r="H31" s="80"/>
      <c r="I31" s="78"/>
      <c r="J31" s="80"/>
      <c r="K31" s="78"/>
      <c r="L31" s="80"/>
      <c r="M31" s="78"/>
      <c r="N31" s="79"/>
    </row>
    <row r="32" spans="2:14">
      <c r="B32" s="166" t="s">
        <v>51</v>
      </c>
      <c r="C32" s="167"/>
      <c r="D32" s="19">
        <v>0</v>
      </c>
      <c r="E32" s="76">
        <v>0</v>
      </c>
      <c r="F32" s="74">
        <f t="shared" si="1"/>
        <v>0</v>
      </c>
      <c r="G32" s="70">
        <f t="shared" si="0"/>
        <v>0</v>
      </c>
      <c r="H32" s="80"/>
      <c r="I32" s="78"/>
      <c r="J32" s="80"/>
      <c r="K32" s="78"/>
      <c r="L32" s="80"/>
      <c r="M32" s="78"/>
      <c r="N32" s="79"/>
    </row>
    <row r="33" spans="2:14">
      <c r="B33" s="157" t="s">
        <v>52</v>
      </c>
      <c r="C33" s="158"/>
      <c r="D33" s="19">
        <v>0</v>
      </c>
      <c r="E33" s="76">
        <v>0</v>
      </c>
      <c r="F33" s="74">
        <f t="shared" si="1"/>
        <v>0</v>
      </c>
      <c r="G33" s="70">
        <f t="shared" si="0"/>
        <v>0</v>
      </c>
      <c r="H33" s="80"/>
      <c r="I33" s="78"/>
      <c r="J33" s="78"/>
      <c r="K33" s="78"/>
      <c r="L33" s="78"/>
      <c r="M33" s="78"/>
      <c r="N33" s="79"/>
    </row>
    <row r="34" spans="2:14">
      <c r="B34" s="157" t="s">
        <v>53</v>
      </c>
      <c r="C34" s="158"/>
      <c r="D34" s="19">
        <v>0</v>
      </c>
      <c r="E34" s="76">
        <v>0</v>
      </c>
      <c r="F34" s="74">
        <f t="shared" si="1"/>
        <v>0</v>
      </c>
      <c r="G34" s="70">
        <f t="shared" si="0"/>
        <v>0</v>
      </c>
      <c r="H34" s="80"/>
      <c r="I34" s="78"/>
      <c r="J34" s="78"/>
      <c r="K34" s="78"/>
      <c r="L34" s="78"/>
      <c r="M34" s="78"/>
      <c r="N34" s="79"/>
    </row>
    <row r="35" spans="2:14">
      <c r="B35" s="157" t="s">
        <v>54</v>
      </c>
      <c r="C35" s="158"/>
      <c r="D35" s="19">
        <v>22</v>
      </c>
      <c r="E35" s="76">
        <v>0</v>
      </c>
      <c r="F35" s="74">
        <f t="shared" si="1"/>
        <v>22</v>
      </c>
      <c r="G35" s="70">
        <f>+SUM(H35:N35)</f>
        <v>0</v>
      </c>
      <c r="H35" s="77">
        <f>2.5*$E35</f>
        <v>0</v>
      </c>
      <c r="I35" s="77">
        <f>1.5*$E35</f>
        <v>0</v>
      </c>
      <c r="J35" s="78">
        <f>3*$E35</f>
        <v>0</v>
      </c>
      <c r="K35" s="78">
        <f>4*$E35</f>
        <v>0</v>
      </c>
      <c r="L35" s="78"/>
      <c r="M35" s="78"/>
      <c r="N35" s="79"/>
    </row>
    <row r="36" spans="2:14" ht="15" thickBot="1">
      <c r="B36" s="157"/>
      <c r="C36" s="158"/>
      <c r="D36" s="19">
        <v>0</v>
      </c>
      <c r="E36" s="76">
        <v>0</v>
      </c>
      <c r="F36" s="74">
        <f t="shared" ref="F36" si="2">+D36-E36</f>
        <v>0</v>
      </c>
      <c r="G36" s="70">
        <v>0</v>
      </c>
      <c r="H36" s="80"/>
      <c r="I36" s="78"/>
      <c r="J36" s="78"/>
      <c r="K36" s="78"/>
      <c r="L36" s="80"/>
      <c r="M36" s="78"/>
      <c r="N36" s="79"/>
    </row>
    <row r="37" spans="2:14" ht="15.75" thickBot="1">
      <c r="B37" s="149" t="s">
        <v>29</v>
      </c>
      <c r="C37" s="150"/>
      <c r="D37" s="20">
        <f>+SUM(D24:D36)</f>
        <v>22</v>
      </c>
      <c r="E37" s="21">
        <f t="shared" ref="E37:G37" si="3">+SUM(E24:E36)</f>
        <v>0</v>
      </c>
      <c r="F37" s="21">
        <f t="shared" si="3"/>
        <v>22</v>
      </c>
      <c r="G37" s="20">
        <f t="shared" si="3"/>
        <v>0</v>
      </c>
      <c r="H37" s="21">
        <f>+SUM(H24:H36)</f>
        <v>0</v>
      </c>
      <c r="I37" s="22">
        <f t="shared" ref="I37:N37" si="4">+SUM(I24:I36)</f>
        <v>0</v>
      </c>
      <c r="J37" s="22">
        <f t="shared" si="4"/>
        <v>0</v>
      </c>
      <c r="K37" s="22">
        <f t="shared" si="4"/>
        <v>0</v>
      </c>
      <c r="L37" s="22">
        <f t="shared" si="4"/>
        <v>0</v>
      </c>
      <c r="M37" s="22">
        <f t="shared" si="4"/>
        <v>0</v>
      </c>
      <c r="N37" s="22">
        <f t="shared" si="4"/>
        <v>0</v>
      </c>
    </row>
    <row r="38" spans="2:14" ht="15.75" thickBot="1">
      <c r="B38" s="37"/>
      <c r="C38" s="37"/>
      <c r="D38" s="38"/>
      <c r="E38" s="62"/>
      <c r="F38" s="62"/>
      <c r="G38" s="38"/>
      <c r="H38" s="64"/>
      <c r="I38" s="62"/>
      <c r="J38" s="62"/>
      <c r="K38" s="62"/>
      <c r="L38" s="62"/>
      <c r="M38" s="62"/>
      <c r="N38" s="63"/>
    </row>
    <row r="39" spans="2:14" ht="15.75" customHeight="1" thickBot="1">
      <c r="B39" s="37"/>
      <c r="C39" s="37"/>
      <c r="D39" s="67" t="s">
        <v>55</v>
      </c>
      <c r="E39" s="68" t="s">
        <v>56</v>
      </c>
      <c r="F39" s="154" t="s">
        <v>57</v>
      </c>
      <c r="G39" s="155"/>
      <c r="H39" s="154" t="s">
        <v>58</v>
      </c>
      <c r="I39" s="156"/>
      <c r="J39" s="62"/>
      <c r="K39" s="62"/>
      <c r="L39" s="62"/>
      <c r="M39" s="62"/>
      <c r="N39" s="62"/>
    </row>
    <row r="40" spans="2:14" ht="15.75" thickBot="1">
      <c r="B40" s="37"/>
      <c r="C40" s="37"/>
      <c r="D40" s="81">
        <v>0.33333333333333331</v>
      </c>
      <c r="E40" s="82">
        <v>0.75</v>
      </c>
      <c r="F40" s="66" t="s">
        <v>59</v>
      </c>
      <c r="G40" s="83">
        <v>0.33333333333333331</v>
      </c>
      <c r="H40" s="84" t="s">
        <v>59</v>
      </c>
      <c r="I40" s="85">
        <v>0</v>
      </c>
      <c r="J40" s="62"/>
      <c r="K40" s="62"/>
      <c r="L40" s="62"/>
      <c r="M40" s="62"/>
      <c r="N40" s="62"/>
    </row>
    <row r="41" spans="2:14" ht="15">
      <c r="B41" s="37"/>
      <c r="C41" s="37"/>
      <c r="F41" s="65" t="s">
        <v>60</v>
      </c>
      <c r="G41" s="86">
        <v>0.79166666666666663</v>
      </c>
      <c r="H41" s="65" t="s">
        <v>60</v>
      </c>
      <c r="I41" s="87">
        <v>0</v>
      </c>
      <c r="J41" s="62"/>
      <c r="K41" s="62"/>
      <c r="L41" s="62"/>
      <c r="M41" s="62"/>
      <c r="N41" s="62"/>
    </row>
    <row r="42" spans="2:14" ht="15" thickBot="1">
      <c r="N42" s="6"/>
    </row>
    <row r="43" spans="2:14" ht="15" customHeight="1" thickBot="1">
      <c r="B43" s="23" t="s">
        <v>61</v>
      </c>
      <c r="C43" s="24"/>
      <c r="D43" s="126" t="s">
        <v>29</v>
      </c>
      <c r="E43" s="127"/>
      <c r="F43" s="127"/>
      <c r="G43" s="128"/>
      <c r="H43" s="126" t="s">
        <v>62</v>
      </c>
      <c r="I43" s="127"/>
      <c r="J43" s="127"/>
      <c r="K43" s="127"/>
      <c r="L43" s="127"/>
      <c r="M43" s="127"/>
      <c r="N43" s="128"/>
    </row>
    <row r="44" spans="2:14" ht="30.6" customHeight="1" thickBot="1">
      <c r="B44" s="25" t="s">
        <v>63</v>
      </c>
      <c r="C44" s="25" t="s">
        <v>64</v>
      </c>
      <c r="D44" s="15" t="s">
        <v>65</v>
      </c>
      <c r="E44" s="17" t="s">
        <v>66</v>
      </c>
      <c r="F44" s="26" t="s">
        <v>67</v>
      </c>
      <c r="G44" s="27" t="s">
        <v>68</v>
      </c>
      <c r="H44" s="17" t="s">
        <v>36</v>
      </c>
      <c r="I44" s="26" t="s">
        <v>37</v>
      </c>
      <c r="J44" s="26" t="s">
        <v>38</v>
      </c>
      <c r="K44" s="26" t="s">
        <v>39</v>
      </c>
      <c r="L44" s="26" t="s">
        <v>40</v>
      </c>
      <c r="M44" s="26" t="s">
        <v>41</v>
      </c>
      <c r="N44" s="27" t="s">
        <v>42</v>
      </c>
    </row>
    <row r="45" spans="2:14" ht="14.45" customHeight="1">
      <c r="B45" s="28" t="s">
        <v>69</v>
      </c>
      <c r="C45" s="74">
        <v>0</v>
      </c>
      <c r="D45" s="75">
        <v>0</v>
      </c>
      <c r="E45" s="74">
        <v>0</v>
      </c>
      <c r="F45" s="75">
        <f>+C45-D45-E45</f>
        <v>0</v>
      </c>
      <c r="G45" s="70">
        <f>+SUM(H45:N45)</f>
        <v>0</v>
      </c>
      <c r="H45" s="74"/>
      <c r="I45" s="75"/>
      <c r="J45" s="75"/>
      <c r="K45" s="88"/>
      <c r="L45" s="88"/>
      <c r="M45" s="88"/>
      <c r="N45" s="89"/>
    </row>
    <row r="46" spans="2:14">
      <c r="B46" s="29" t="s">
        <v>70</v>
      </c>
      <c r="C46" s="19">
        <v>0</v>
      </c>
      <c r="D46" s="76">
        <v>0</v>
      </c>
      <c r="E46" s="19">
        <v>0</v>
      </c>
      <c r="F46" s="75">
        <f t="shared" ref="F46:F59" si="5">+C46-D46-E46</f>
        <v>0</v>
      </c>
      <c r="G46" s="90">
        <f t="shared" ref="G46:G59" si="6">+SUM(H46:N46)</f>
        <v>0</v>
      </c>
      <c r="H46" s="19"/>
      <c r="I46" s="76"/>
      <c r="J46" s="76"/>
      <c r="K46" s="76"/>
      <c r="L46" s="76"/>
      <c r="M46" s="76"/>
      <c r="N46" s="90"/>
    </row>
    <row r="47" spans="2:14">
      <c r="B47" s="29" t="s">
        <v>71</v>
      </c>
      <c r="C47" s="19">
        <v>0</v>
      </c>
      <c r="D47" s="76">
        <v>0</v>
      </c>
      <c r="E47" s="19">
        <v>0</v>
      </c>
      <c r="F47" s="75">
        <f t="shared" si="5"/>
        <v>0</v>
      </c>
      <c r="G47" s="90">
        <f t="shared" si="6"/>
        <v>0</v>
      </c>
      <c r="H47" s="19"/>
      <c r="I47" s="76"/>
      <c r="J47" s="76"/>
      <c r="K47" s="76"/>
      <c r="L47" s="76"/>
      <c r="M47" s="76"/>
      <c r="N47" s="90"/>
    </row>
    <row r="48" spans="2:14">
      <c r="B48" s="29" t="s">
        <v>72</v>
      </c>
      <c r="C48" s="19">
        <v>0</v>
      </c>
      <c r="D48" s="76">
        <v>0</v>
      </c>
      <c r="E48" s="19">
        <v>0</v>
      </c>
      <c r="F48" s="75">
        <f t="shared" si="5"/>
        <v>0</v>
      </c>
      <c r="G48" s="90">
        <f t="shared" si="6"/>
        <v>0</v>
      </c>
      <c r="H48" s="19"/>
      <c r="I48" s="76"/>
      <c r="J48" s="76"/>
      <c r="K48" s="76"/>
      <c r="L48" s="76"/>
      <c r="M48" s="76"/>
      <c r="N48" s="90"/>
    </row>
    <row r="49" spans="2:14">
      <c r="B49" s="29" t="s">
        <v>73</v>
      </c>
      <c r="C49" s="19">
        <v>0</v>
      </c>
      <c r="D49" s="76">
        <v>0</v>
      </c>
      <c r="E49" s="19">
        <v>0</v>
      </c>
      <c r="F49" s="75">
        <f t="shared" si="5"/>
        <v>0</v>
      </c>
      <c r="G49" s="90">
        <f t="shared" si="6"/>
        <v>0</v>
      </c>
      <c r="H49" s="19"/>
      <c r="I49" s="76"/>
      <c r="J49" s="76"/>
      <c r="K49" s="76"/>
      <c r="L49" s="76"/>
      <c r="M49" s="76"/>
      <c r="N49" s="90"/>
    </row>
    <row r="50" spans="2:14">
      <c r="B50" s="29" t="s">
        <v>74</v>
      </c>
      <c r="C50" s="19">
        <v>0</v>
      </c>
      <c r="D50" s="76">
        <v>0</v>
      </c>
      <c r="E50" s="19">
        <v>0</v>
      </c>
      <c r="F50" s="75">
        <f t="shared" si="5"/>
        <v>0</v>
      </c>
      <c r="G50" s="90">
        <f t="shared" si="6"/>
        <v>0</v>
      </c>
      <c r="H50" s="19"/>
      <c r="I50" s="76"/>
      <c r="J50" s="76"/>
      <c r="K50" s="76"/>
      <c r="L50" s="76"/>
      <c r="M50" s="76"/>
      <c r="N50" s="90"/>
    </row>
    <row r="51" spans="2:14">
      <c r="B51" s="29" t="s">
        <v>75</v>
      </c>
      <c r="C51" s="19">
        <v>0</v>
      </c>
      <c r="D51" s="76">
        <v>0</v>
      </c>
      <c r="E51" s="19">
        <v>0</v>
      </c>
      <c r="F51" s="75">
        <f t="shared" si="5"/>
        <v>0</v>
      </c>
      <c r="G51" s="90">
        <f t="shared" si="6"/>
        <v>0</v>
      </c>
      <c r="H51" s="19"/>
      <c r="I51" s="76"/>
      <c r="J51" s="76"/>
      <c r="K51" s="76"/>
      <c r="L51" s="76"/>
      <c r="M51" s="76"/>
      <c r="N51" s="90"/>
    </row>
    <row r="52" spans="2:14">
      <c r="B52" s="29" t="s">
        <v>76</v>
      </c>
      <c r="C52" s="74">
        <v>0</v>
      </c>
      <c r="D52" s="76">
        <v>0</v>
      </c>
      <c r="E52" s="91">
        <v>0</v>
      </c>
      <c r="F52" s="75">
        <f t="shared" si="5"/>
        <v>0</v>
      </c>
      <c r="G52" s="90">
        <f t="shared" si="6"/>
        <v>0</v>
      </c>
      <c r="H52" s="91"/>
      <c r="I52" s="92"/>
      <c r="J52" s="92"/>
      <c r="K52" s="92"/>
      <c r="L52" s="92"/>
      <c r="M52" s="92"/>
      <c r="N52" s="93"/>
    </row>
    <row r="53" spans="2:14">
      <c r="B53" s="29" t="s">
        <v>77</v>
      </c>
      <c r="C53" s="19">
        <v>0</v>
      </c>
      <c r="D53" s="76">
        <v>0</v>
      </c>
      <c r="E53" s="91">
        <v>0</v>
      </c>
      <c r="F53" s="75">
        <f t="shared" si="5"/>
        <v>0</v>
      </c>
      <c r="G53" s="90">
        <f t="shared" si="6"/>
        <v>0</v>
      </c>
      <c r="H53" s="91"/>
      <c r="I53" s="92"/>
      <c r="J53" s="92"/>
      <c r="K53" s="92"/>
      <c r="L53" s="92"/>
      <c r="M53" s="92"/>
      <c r="N53" s="93"/>
    </row>
    <row r="54" spans="2:14">
      <c r="B54" s="29" t="s">
        <v>78</v>
      </c>
      <c r="C54" s="19">
        <v>0</v>
      </c>
      <c r="D54" s="76">
        <v>0</v>
      </c>
      <c r="E54" s="91">
        <v>0</v>
      </c>
      <c r="F54" s="75">
        <f t="shared" si="5"/>
        <v>0</v>
      </c>
      <c r="G54" s="90">
        <f t="shared" si="6"/>
        <v>0</v>
      </c>
      <c r="H54" s="91"/>
      <c r="I54" s="92"/>
      <c r="J54" s="92"/>
      <c r="K54" s="92"/>
      <c r="L54" s="92"/>
      <c r="M54" s="92"/>
      <c r="N54" s="93"/>
    </row>
    <row r="55" spans="2:14">
      <c r="B55" s="29" t="s">
        <v>79</v>
      </c>
      <c r="C55" s="19">
        <v>0</v>
      </c>
      <c r="D55" s="76">
        <v>0</v>
      </c>
      <c r="E55" s="91">
        <v>0</v>
      </c>
      <c r="F55" s="75">
        <f t="shared" si="5"/>
        <v>0</v>
      </c>
      <c r="G55" s="90">
        <f t="shared" si="6"/>
        <v>0</v>
      </c>
      <c r="H55" s="91"/>
      <c r="I55" s="92"/>
      <c r="J55" s="92"/>
      <c r="K55" s="92"/>
      <c r="L55" s="92"/>
      <c r="M55" s="92"/>
      <c r="N55" s="93"/>
    </row>
    <row r="56" spans="2:14">
      <c r="B56" s="29" t="s">
        <v>80</v>
      </c>
      <c r="C56" s="19">
        <v>0</v>
      </c>
      <c r="D56" s="76">
        <v>0</v>
      </c>
      <c r="E56" s="91">
        <v>0</v>
      </c>
      <c r="F56" s="75">
        <f t="shared" si="5"/>
        <v>0</v>
      </c>
      <c r="G56" s="90">
        <f t="shared" si="6"/>
        <v>0</v>
      </c>
      <c r="H56" s="91"/>
      <c r="I56" s="92"/>
      <c r="J56" s="92"/>
      <c r="K56" s="92"/>
      <c r="L56" s="92"/>
      <c r="M56" s="92"/>
      <c r="N56" s="93"/>
    </row>
    <row r="57" spans="2:14">
      <c r="B57" s="29" t="s">
        <v>81</v>
      </c>
      <c r="C57" s="19">
        <v>0</v>
      </c>
      <c r="D57" s="76">
        <v>0</v>
      </c>
      <c r="E57" s="91">
        <v>0</v>
      </c>
      <c r="F57" s="75">
        <f t="shared" si="5"/>
        <v>0</v>
      </c>
      <c r="G57" s="90">
        <f t="shared" si="6"/>
        <v>0</v>
      </c>
      <c r="H57" s="91"/>
      <c r="I57" s="92"/>
      <c r="J57" s="92"/>
      <c r="K57" s="92"/>
      <c r="L57" s="92"/>
      <c r="M57" s="92"/>
      <c r="N57" s="93"/>
    </row>
    <row r="58" spans="2:14">
      <c r="B58" s="29" t="s">
        <v>82</v>
      </c>
      <c r="C58" s="19">
        <v>0</v>
      </c>
      <c r="D58" s="76">
        <v>0</v>
      </c>
      <c r="E58" s="91">
        <v>0</v>
      </c>
      <c r="F58" s="75">
        <f t="shared" si="5"/>
        <v>0</v>
      </c>
      <c r="G58" s="90">
        <f t="shared" si="6"/>
        <v>0</v>
      </c>
      <c r="H58" s="91"/>
      <c r="I58" s="92"/>
      <c r="J58" s="92"/>
      <c r="K58" s="92"/>
      <c r="L58" s="92"/>
      <c r="M58" s="92"/>
      <c r="N58" s="93"/>
    </row>
    <row r="59" spans="2:14" ht="15" thickBot="1">
      <c r="B59" s="30" t="s">
        <v>83</v>
      </c>
      <c r="C59" s="91">
        <v>0</v>
      </c>
      <c r="D59" s="94">
        <v>0</v>
      </c>
      <c r="E59" s="91">
        <v>0</v>
      </c>
      <c r="F59" s="95">
        <f t="shared" si="5"/>
        <v>0</v>
      </c>
      <c r="G59" s="96">
        <f t="shared" si="6"/>
        <v>0</v>
      </c>
      <c r="H59" s="91"/>
      <c r="I59" s="92"/>
      <c r="J59" s="92"/>
      <c r="K59" s="94"/>
      <c r="L59" s="94"/>
      <c r="M59" s="94"/>
      <c r="N59" s="96"/>
    </row>
    <row r="60" spans="2:14" ht="15.75" thickBot="1">
      <c r="B60" s="31" t="s">
        <v>29</v>
      </c>
      <c r="C60" s="20">
        <f t="shared" ref="C60:K60" si="7">+SUM(C45:C59)</f>
        <v>0</v>
      </c>
      <c r="D60" s="21">
        <f t="shared" si="7"/>
        <v>0</v>
      </c>
      <c r="E60" s="21">
        <f t="shared" si="7"/>
        <v>0</v>
      </c>
      <c r="F60" s="21">
        <f t="shared" si="7"/>
        <v>0</v>
      </c>
      <c r="G60" s="20">
        <f t="shared" si="7"/>
        <v>0</v>
      </c>
      <c r="H60" s="21">
        <f t="shared" si="7"/>
        <v>0</v>
      </c>
      <c r="I60" s="21">
        <f t="shared" si="7"/>
        <v>0</v>
      </c>
      <c r="J60" s="21">
        <f t="shared" si="7"/>
        <v>0</v>
      </c>
      <c r="K60" s="21">
        <f t="shared" si="7"/>
        <v>0</v>
      </c>
      <c r="L60" s="21">
        <f t="shared" ref="L60:N60" si="8">+SUM(L45:L59)</f>
        <v>0</v>
      </c>
      <c r="M60" s="21">
        <f t="shared" si="8"/>
        <v>0</v>
      </c>
      <c r="N60" s="21">
        <f t="shared" si="8"/>
        <v>0</v>
      </c>
    </row>
    <row r="61" spans="2:14" ht="15" thickBot="1">
      <c r="B61" s="1"/>
      <c r="N61" s="6"/>
    </row>
    <row r="62" spans="2:14" ht="15" customHeight="1" thickBot="1">
      <c r="B62" s="126" t="s">
        <v>84</v>
      </c>
      <c r="C62" s="128"/>
      <c r="D62" s="126" t="s">
        <v>29</v>
      </c>
      <c r="E62" s="127"/>
      <c r="F62" s="127"/>
      <c r="G62" s="128"/>
      <c r="I62" s="151" t="s">
        <v>85</v>
      </c>
      <c r="J62" s="152"/>
      <c r="K62" s="152"/>
      <c r="L62" s="152"/>
      <c r="M62" s="153"/>
      <c r="N62" s="6"/>
    </row>
    <row r="63" spans="2:14" ht="28.5">
      <c r="B63" s="159" t="s">
        <v>31</v>
      </c>
      <c r="C63" s="160"/>
      <c r="D63" s="14" t="s">
        <v>32</v>
      </c>
      <c r="E63" s="109" t="s">
        <v>33</v>
      </c>
      <c r="F63" s="109" t="s">
        <v>34</v>
      </c>
      <c r="G63" s="16" t="s">
        <v>35</v>
      </c>
      <c r="I63" s="161" t="s">
        <v>86</v>
      </c>
      <c r="J63" s="161"/>
      <c r="K63" s="161"/>
      <c r="L63" s="32" t="s">
        <v>87</v>
      </c>
      <c r="M63" s="33" t="s">
        <v>88</v>
      </c>
      <c r="N63" s="6"/>
    </row>
    <row r="64" spans="2:14" ht="14.45" customHeight="1" thickBot="1">
      <c r="B64" s="162" t="s">
        <v>89</v>
      </c>
      <c r="C64" s="163"/>
      <c r="D64" s="74">
        <v>1</v>
      </c>
      <c r="E64" s="75">
        <v>0</v>
      </c>
      <c r="F64" s="74">
        <f>+D64-E64</f>
        <v>1</v>
      </c>
      <c r="G64" s="70">
        <f>$J$9*E64</f>
        <v>0</v>
      </c>
      <c r="I64" s="134" t="s">
        <v>90</v>
      </c>
      <c r="J64" s="138"/>
      <c r="K64" s="146"/>
      <c r="L64" s="34">
        <v>0</v>
      </c>
      <c r="M64" s="35">
        <f>+G37</f>
        <v>0</v>
      </c>
      <c r="N64" s="6"/>
    </row>
    <row r="65" spans="2:14" ht="15" thickBot="1">
      <c r="B65" s="147" t="s">
        <v>91</v>
      </c>
      <c r="C65" s="148"/>
      <c r="D65" s="74">
        <v>1</v>
      </c>
      <c r="E65" s="75">
        <v>0</v>
      </c>
      <c r="F65" s="74">
        <f t="shared" ref="F65:F75" si="9">+D65-E65</f>
        <v>1</v>
      </c>
      <c r="G65" s="70">
        <f t="shared" ref="G65:G75" si="10">$J$9*E65</f>
        <v>0</v>
      </c>
      <c r="I65" s="134" t="s">
        <v>92</v>
      </c>
      <c r="J65" s="138"/>
      <c r="K65" s="146"/>
      <c r="L65" s="34">
        <v>0</v>
      </c>
      <c r="M65" s="35">
        <f>+G76</f>
        <v>0</v>
      </c>
      <c r="N65" s="6"/>
    </row>
    <row r="66" spans="2:14" ht="15" thickBot="1">
      <c r="B66" s="147" t="s">
        <v>93</v>
      </c>
      <c r="C66" s="148"/>
      <c r="D66" s="74">
        <v>1</v>
      </c>
      <c r="E66" s="75">
        <v>0</v>
      </c>
      <c r="F66" s="74">
        <f t="shared" si="9"/>
        <v>1</v>
      </c>
      <c r="G66" s="70">
        <f t="shared" si="10"/>
        <v>0</v>
      </c>
      <c r="I66" s="134" t="s">
        <v>94</v>
      </c>
      <c r="J66" s="138"/>
      <c r="K66" s="146"/>
      <c r="L66" s="34">
        <f>+SUM(L64:L65)</f>
        <v>0</v>
      </c>
      <c r="M66" s="35">
        <f>+SUM(M64:M65)</f>
        <v>0</v>
      </c>
      <c r="N66" s="6"/>
    </row>
    <row r="67" spans="2:14">
      <c r="B67" s="147" t="s">
        <v>95</v>
      </c>
      <c r="C67" s="148"/>
      <c r="D67" s="74">
        <v>1</v>
      </c>
      <c r="E67" s="75">
        <v>0</v>
      </c>
      <c r="F67" s="74">
        <f t="shared" si="9"/>
        <v>1</v>
      </c>
      <c r="G67" s="70">
        <f t="shared" si="10"/>
        <v>0</v>
      </c>
      <c r="N67" s="6"/>
    </row>
    <row r="68" spans="2:14">
      <c r="B68" s="147" t="s">
        <v>96</v>
      </c>
      <c r="C68" s="148"/>
      <c r="D68" s="74">
        <v>7</v>
      </c>
      <c r="E68" s="75">
        <v>0</v>
      </c>
      <c r="F68" s="74">
        <f t="shared" si="9"/>
        <v>7</v>
      </c>
      <c r="G68" s="70">
        <f t="shared" si="10"/>
        <v>0</v>
      </c>
      <c r="N68" s="6"/>
    </row>
    <row r="69" spans="2:14">
      <c r="B69" s="147" t="inlineStr">
        <is>
          <t>Asesor Prevencion de Riesgos</t>
        </is>
      </c>
      <c r="C69" s="148"/>
      <c r="D69" s="74">
        <v>2</v>
      </c>
      <c r="E69" s="75">
        <v>0</v>
      </c>
      <c r="F69" s="74">
        <f t="shared" si="9"/>
        <v>2</v>
      </c>
      <c r="G69" s="70">
        <f t="shared" si="10"/>
        <v>0</v>
      </c>
      <c r="N69" s="6"/>
    </row>
    <row r="70" spans="2:14">
      <c r="B70" s="147" t="s">
        <v>98</v>
      </c>
      <c r="C70" s="148"/>
      <c r="D70" s="74">
        <v>1</v>
      </c>
      <c r="E70" s="75">
        <v>0</v>
      </c>
      <c r="F70" s="74">
        <f t="shared" si="9"/>
        <v>1</v>
      </c>
      <c r="G70" s="70">
        <f t="shared" si="10"/>
        <v>0</v>
      </c>
      <c r="N70" s="6"/>
    </row>
    <row r="71" spans="2:14">
      <c r="B71" s="147" t="s">
        <v>99</v>
      </c>
      <c r="C71" s="148"/>
      <c r="D71" s="74">
        <v>0</v>
      </c>
      <c r="E71" s="75">
        <v>0</v>
      </c>
      <c r="F71" s="74">
        <f t="shared" si="9"/>
        <v>0</v>
      </c>
      <c r="G71" s="70">
        <f t="shared" si="10"/>
        <v>0</v>
      </c>
      <c r="N71" s="6"/>
    </row>
    <row r="72" spans="2:14">
      <c r="B72" s="58" t="s">
        <v>100</v>
      </c>
      <c r="C72" s="59"/>
      <c r="D72" s="74">
        <v>0</v>
      </c>
      <c r="E72" s="75">
        <v>0</v>
      </c>
      <c r="F72" s="74">
        <f t="shared" si="9"/>
        <v>0</v>
      </c>
      <c r="G72" s="70">
        <f t="shared" si="10"/>
        <v>0</v>
      </c>
      <c r="N72" s="6"/>
    </row>
    <row r="73" spans="2:14">
      <c r="B73" s="58" t="s">
        <v>101</v>
      </c>
      <c r="C73" s="59"/>
      <c r="D73" s="74">
        <v>0</v>
      </c>
      <c r="E73" s="75">
        <v>0</v>
      </c>
      <c r="F73" s="74">
        <f t="shared" si="9"/>
        <v>0</v>
      </c>
      <c r="G73" s="70">
        <f t="shared" si="10"/>
        <v>0</v>
      </c>
      <c r="N73" s="6"/>
    </row>
    <row r="74" spans="2:14">
      <c r="B74" s="147" t="s">
        <v>102</v>
      </c>
      <c r="C74" s="148"/>
      <c r="D74" s="74">
        <v>2</v>
      </c>
      <c r="E74" s="75">
        <v>0</v>
      </c>
      <c r="F74" s="74">
        <f t="shared" si="9"/>
        <v>2</v>
      </c>
      <c r="G74" s="70">
        <f t="shared" si="10"/>
        <v>0</v>
      </c>
      <c r="N74" s="6"/>
    </row>
    <row r="75" spans="2:14" ht="15" thickBot="1">
      <c r="B75" s="147"/>
      <c r="C75" s="148"/>
      <c r="D75" s="74">
        <v>0</v>
      </c>
      <c r="E75" s="75">
        <v>0</v>
      </c>
      <c r="F75" s="74">
        <f t="shared" si="9"/>
        <v>0</v>
      </c>
      <c r="G75" s="70">
        <f t="shared" si="10"/>
        <v>0</v>
      </c>
      <c r="N75" s="6"/>
    </row>
    <row r="76" spans="2:14" ht="15.75" thickBot="1">
      <c r="B76" s="149" t="s">
        <v>29</v>
      </c>
      <c r="C76" s="150"/>
      <c r="D76" s="20">
        <f>+SUM(D64:D75)</f>
        <v>16</v>
      </c>
      <c r="E76" s="20">
        <f>+SUM(E64:E75)</f>
        <v>0</v>
      </c>
      <c r="F76" s="20">
        <f>+SUM(F64:F75)</f>
        <v>16</v>
      </c>
      <c r="G76" s="20">
        <f>+SUM(G64:G75)</f>
        <v>0</v>
      </c>
      <c r="N76" s="6"/>
    </row>
    <row r="77" spans="2:14" ht="15">
      <c r="B77" s="36"/>
      <c r="C77" s="37"/>
      <c r="D77" s="38"/>
      <c r="E77" s="38"/>
      <c r="F77" s="38"/>
      <c r="G77" s="38"/>
      <c r="N77" s="6"/>
    </row>
    <row r="78" spans="2:14" ht="15" thickBot="1">
      <c r="B78" s="5"/>
      <c r="N78" s="6"/>
    </row>
    <row r="79" spans="2:14" ht="15" thickBot="1">
      <c r="B79" s="134" t="s">
        <v>103</v>
      </c>
      <c r="C79" s="135"/>
      <c r="D79" s="136">
        <f>+G37</f>
        <v>0</v>
      </c>
      <c r="E79" s="137"/>
      <c r="F79" s="134" t="s">
        <v>104</v>
      </c>
      <c r="G79" s="138"/>
      <c r="H79" s="135"/>
      <c r="I79" s="97">
        <f>+G60</f>
        <v>0</v>
      </c>
      <c r="J79" s="134" t="s">
        <v>105</v>
      </c>
      <c r="K79" s="138"/>
      <c r="L79" s="138"/>
      <c r="M79" s="135"/>
      <c r="N79" s="97">
        <f>+G76</f>
        <v>0</v>
      </c>
    </row>
    <row r="80" spans="2:14" ht="15" thickBot="1">
      <c r="B80" s="134" t="inlineStr">
        <is>
          <t>Total HH Directas Acumuladas Anterior</t>
        </is>
      </c>
      <c r="C80" s="135"/>
      <c r="D80" s="139">
        <v>0</v>
      </c>
      <c r="E80" s="140"/>
      <c r="F80" s="134" t="inlineStr">
        <is>
          <t>Total HM Acumuladas Anterior</t>
        </is>
      </c>
      <c r="G80" s="138"/>
      <c r="H80" s="135"/>
      <c r="I80" s="98">
        <v>0</v>
      </c>
      <c r="J80" s="134" t="inlineStr">
        <is>
          <t>Total HH Indirectas Acumuladas Anterior</t>
        </is>
      </c>
      <c r="K80" s="138"/>
      <c r="L80" s="138"/>
      <c r="M80" s="135"/>
      <c r="N80" s="98">
        <v>0</v>
      </c>
    </row>
    <row r="81" spans="2:14" ht="15" thickBot="1">
      <c r="B81" s="134" t="inlineStr">
        <is>
          <t>Total HH Directas Acumuladas Actual</t>
        </is>
      </c>
      <c r="C81" s="135"/>
      <c r="D81" s="139">
        <f>D79+D80</f>
        <v>0</v>
      </c>
      <c r="E81" s="140"/>
      <c r="F81" s="134" t="inlineStr">
        <is>
          <t>Total HM Acumuladas Actual</t>
        </is>
      </c>
      <c r="G81" s="138"/>
      <c r="H81" s="135"/>
      <c r="I81" s="98">
        <f>I79+I80</f>
        <v>0</v>
      </c>
      <c r="J81" s="134" t="inlineStr">
        <is>
          <t>Total HH Indirectas Acumuladas Actual</t>
        </is>
      </c>
      <c r="K81" s="138"/>
      <c r="L81" s="138"/>
      <c r="M81" s="135"/>
      <c r="N81" s="98">
        <f>N79+N80</f>
        <v>0</v>
      </c>
    </row>
    <row r="82" spans="2:14" ht="15" customHeight="1" thickBot="1">
      <c r="B82" s="5"/>
      <c r="N82" s="6"/>
    </row>
    <row r="83" spans="2:14" ht="15" customHeight="1" thickBot="1">
      <c r="B83" s="126" t="s">
        <v>109</v>
      </c>
      <c r="C83" s="127"/>
      <c r="D83" s="127" t="s">
        <v>110</v>
      </c>
      <c r="E83" s="127"/>
      <c r="F83" s="127"/>
      <c r="G83" s="127"/>
      <c r="H83" s="127"/>
      <c r="I83" s="127"/>
      <c r="J83" s="127"/>
      <c r="K83" s="127"/>
      <c r="L83" s="127"/>
      <c r="M83" s="127"/>
      <c r="N83" s="128"/>
    </row>
    <row r="84" spans="2:14" ht="14.45" customHeight="1">
      <c r="B84" s="129"/>
      <c r="C84" s="130"/>
      <c r="D84" s="141"/>
      <c r="E84" s="142"/>
      <c r="F84" s="142"/>
      <c r="G84" s="142"/>
      <c r="H84" s="142"/>
      <c r="I84" s="142"/>
      <c r="J84" s="142"/>
      <c r="K84" s="142"/>
      <c r="L84" s="142"/>
      <c r="M84" s="142"/>
      <c r="N84" s="143"/>
    </row>
    <row r="85" spans="2:14">
      <c r="B85" s="144"/>
      <c r="C85" s="145"/>
      <c r="D85" s="120"/>
      <c r="E85" s="121"/>
      <c r="F85" s="121"/>
      <c r="G85" s="121"/>
      <c r="H85" s="121"/>
      <c r="I85" s="121"/>
      <c r="J85" s="121"/>
      <c r="K85" s="121"/>
      <c r="L85" s="121"/>
      <c r="M85" s="121"/>
      <c r="N85" s="122"/>
    </row>
    <row r="86" spans="2:14">
      <c r="B86" s="209"/>
      <c r="C86" s="210"/>
      <c r="D86" s="120"/>
      <c r="E86" s="121"/>
      <c r="F86" s="121"/>
      <c r="G86" s="121"/>
      <c r="H86" s="121"/>
      <c r="I86" s="121"/>
      <c r="J86" s="121"/>
      <c r="K86" s="121"/>
      <c r="L86" s="121"/>
      <c r="M86" s="121"/>
      <c r="N86" s="122"/>
    </row>
    <row r="87" spans="2:14" ht="15" thickBot="1">
      <c r="B87" s="211"/>
      <c r="C87" s="212"/>
      <c r="D87" s="123"/>
      <c r="E87" s="124"/>
      <c r="F87" s="124"/>
      <c r="G87" s="124"/>
      <c r="H87" s="124"/>
      <c r="I87" s="124"/>
      <c r="J87" s="124"/>
      <c r="K87" s="124"/>
      <c r="L87" s="124"/>
      <c r="M87" s="124"/>
      <c r="N87" s="125"/>
    </row>
    <row r="88" spans="2:14" ht="15.75" thickBot="1">
      <c r="B88" s="126" t="s">
        <v>109</v>
      </c>
      <c r="C88" s="127"/>
      <c r="D88" s="127" t="s">
        <v>111</v>
      </c>
      <c r="E88" s="127"/>
      <c r="F88" s="127"/>
      <c r="G88" s="127"/>
      <c r="H88" s="127"/>
      <c r="I88" s="127"/>
      <c r="J88" s="127"/>
      <c r="K88" s="127"/>
      <c r="L88" s="127"/>
      <c r="M88" s="127"/>
      <c r="N88" s="128"/>
    </row>
    <row r="89" spans="2:14" ht="14.45" customHeight="1">
      <c r="B89" s="129"/>
      <c r="C89" s="130"/>
      <c r="D89" s="131"/>
      <c r="E89" s="132"/>
      <c r="F89" s="132"/>
      <c r="G89" s="132"/>
      <c r="H89" s="132"/>
      <c r="I89" s="132"/>
      <c r="J89" s="132"/>
      <c r="K89" s="132"/>
      <c r="L89" s="132"/>
      <c r="M89" s="132"/>
      <c r="N89" s="133"/>
    </row>
    <row r="90" spans="2:14">
      <c r="B90" s="39"/>
      <c r="C90" s="19"/>
      <c r="D90" s="120"/>
      <c r="E90" s="121"/>
      <c r="F90" s="121"/>
      <c r="G90" s="121"/>
      <c r="H90" s="121"/>
      <c r="I90" s="121"/>
      <c r="J90" s="121"/>
      <c r="K90" s="121"/>
      <c r="L90" s="121"/>
      <c r="M90" s="121"/>
      <c r="N90" s="122"/>
    </row>
    <row r="91" spans="2:14">
      <c r="B91" s="39"/>
      <c r="C91" s="19"/>
      <c r="D91" s="120"/>
      <c r="E91" s="121"/>
      <c r="F91" s="121"/>
      <c r="G91" s="121"/>
      <c r="H91" s="121"/>
      <c r="I91" s="121"/>
      <c r="J91" s="121"/>
      <c r="K91" s="121"/>
      <c r="L91" s="121"/>
      <c r="M91" s="121"/>
      <c r="N91" s="122"/>
    </row>
    <row r="92" spans="2:14" ht="15" customHeight="1" thickBot="1">
      <c r="B92" s="40"/>
      <c r="C92" s="41"/>
      <c r="D92" s="123"/>
      <c r="E92" s="124"/>
      <c r="F92" s="124"/>
      <c r="G92" s="124"/>
      <c r="H92" s="124"/>
      <c r="I92" s="124"/>
      <c r="J92" s="124"/>
      <c r="K92" s="124"/>
      <c r="L92" s="124"/>
      <c r="M92" s="124"/>
      <c r="N92" s="125"/>
    </row>
    <row r="93" spans="2:14" ht="15" thickBot="1">
      <c r="B93" s="42"/>
      <c r="C93" s="43"/>
      <c r="D93" s="43"/>
      <c r="E93" s="43"/>
      <c r="N93" s="6"/>
    </row>
    <row r="94" spans="2:14" ht="15" customHeight="1" thickBot="1">
      <c r="B94" s="114" t="s">
        <v>112</v>
      </c>
      <c r="C94" s="115"/>
      <c r="D94" s="115"/>
      <c r="E94" s="116"/>
      <c r="F94" s="117" t="s">
        <v>113</v>
      </c>
      <c r="G94" s="118"/>
      <c r="H94" s="118"/>
      <c r="I94" s="119"/>
      <c r="J94" s="117" t="s">
        <v>114</v>
      </c>
      <c r="K94" s="118"/>
      <c r="L94" s="118"/>
      <c r="M94" s="118"/>
      <c r="N94" s="119"/>
    </row>
    <row r="95" spans="2:14" ht="34.15" customHeight="1">
      <c r="B95" s="44" t="s">
        <v>115</v>
      </c>
      <c r="C95" s="60" t="s">
        <v>116</v>
      </c>
      <c r="D95" s="45"/>
      <c r="E95" s="46"/>
      <c r="F95" s="47" t="s">
        <v>117</v>
      </c>
      <c r="G95" s="45" t="s">
        <v>118</v>
      </c>
      <c r="H95" s="45"/>
      <c r="I95" s="46"/>
      <c r="J95" s="47" t="s">
        <v>117</v>
      </c>
      <c r="K95" s="45"/>
      <c r="L95" s="45"/>
      <c r="M95" s="45"/>
      <c r="N95" s="6"/>
    </row>
    <row r="96" spans="2:14" ht="33.6" customHeight="1">
      <c r="B96" s="48" t="s">
        <v>119</v>
      </c>
      <c r="C96" s="49"/>
      <c r="D96" s="49"/>
      <c r="E96" s="50"/>
      <c r="F96" s="51" t="s">
        <v>119</v>
      </c>
      <c r="G96" s="49"/>
      <c r="H96" s="49"/>
      <c r="I96" s="50"/>
      <c r="J96" s="51" t="s">
        <v>119</v>
      </c>
      <c r="K96" s="49"/>
      <c r="L96" s="49"/>
      <c r="M96" s="49"/>
      <c r="N96" s="6"/>
    </row>
    <row r="97" spans="2:14" ht="35.450000000000003" customHeight="1">
      <c r="B97" s="48" t="s">
        <v>120</v>
      </c>
      <c r="C97" s="61">
        <f>J5</f>
        <v>0</v>
      </c>
      <c r="D97" s="52"/>
      <c r="E97" s="50"/>
      <c r="F97" s="51" t="s">
        <v>121</v>
      </c>
      <c r="G97" s="61">
        <f>C97</f>
        <v>0</v>
      </c>
      <c r="H97" s="52"/>
      <c r="I97" s="50"/>
      <c r="J97" s="51" t="s">
        <v>121</v>
      </c>
      <c r="K97" s="52"/>
      <c r="L97" s="52"/>
      <c r="M97" s="52"/>
      <c r="N97" s="6"/>
    </row>
    <row r="98" spans="2:14" ht="15" customHeight="1" thickBot="1">
      <c r="B98" s="53"/>
      <c r="C98" s="54"/>
      <c r="D98" s="54"/>
      <c r="E98" s="55"/>
      <c r="F98" s="56"/>
      <c r="G98" s="57"/>
      <c r="H98" s="57"/>
      <c r="I98" s="55"/>
      <c r="J98" s="56"/>
      <c r="K98" s="57"/>
      <c r="L98" s="57"/>
      <c r="M98" s="57"/>
      <c r="N98" s="13"/>
    </row>
    <row r="99" spans="2:14">
      <c r="B99" s="2"/>
    </row>
  </sheetData>
  <mergeCells count="105">
    <mergeCell ref="C11:H11"/>
    <mergeCell ref="C10:H10"/>
    <mergeCell ref="I10:J10"/>
    <mergeCell ref="K10:N10"/>
    <mergeCell ref="B12:D12"/>
    <mergeCell ref="C13:D13"/>
    <mergeCell ref="E13:M13"/>
    <mergeCell ref="D3:K3"/>
    <mergeCell ref="B7:B8"/>
    <mergeCell ref="C7:H8"/>
    <mergeCell ref="C5:H5"/>
    <mergeCell ref="C6:H6"/>
    <mergeCell ref="J5:N5"/>
    <mergeCell ref="C9:H9"/>
    <mergeCell ref="J6:N6"/>
    <mergeCell ref="J9:N9"/>
    <mergeCell ref="J7:N7"/>
    <mergeCell ref="J8:N8"/>
    <mergeCell ref="C16:D16"/>
    <mergeCell ref="C17:D17"/>
    <mergeCell ref="C14:D14"/>
    <mergeCell ref="C15:D15"/>
    <mergeCell ref="E14:M14"/>
    <mergeCell ref="E17:M17"/>
    <mergeCell ref="E16:M16"/>
    <mergeCell ref="E15:M15"/>
    <mergeCell ref="C20:D20"/>
    <mergeCell ref="B22:C22"/>
    <mergeCell ref="D22:G22"/>
    <mergeCell ref="H22:N22"/>
    <mergeCell ref="C18:D18"/>
    <mergeCell ref="C19:D19"/>
    <mergeCell ref="E20:M20"/>
    <mergeCell ref="E19:M19"/>
    <mergeCell ref="E18:M18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63:C63"/>
    <mergeCell ref="I63:K63"/>
    <mergeCell ref="B64:C64"/>
    <mergeCell ref="I64:K64"/>
    <mergeCell ref="B65:C65"/>
    <mergeCell ref="I65:K65"/>
    <mergeCell ref="B35:C35"/>
    <mergeCell ref="B36:C36"/>
    <mergeCell ref="B37:C37"/>
    <mergeCell ref="D43:G43"/>
    <mergeCell ref="H43:N43"/>
    <mergeCell ref="B62:C62"/>
    <mergeCell ref="D62:G62"/>
    <mergeCell ref="I62:M62"/>
    <mergeCell ref="F39:G39"/>
    <mergeCell ref="H39:I39"/>
    <mergeCell ref="B71:C71"/>
    <mergeCell ref="B74:C74"/>
    <mergeCell ref="B75:C75"/>
    <mergeCell ref="B76:C76"/>
    <mergeCell ref="B66:C66"/>
    <mergeCell ref="I66:K66"/>
    <mergeCell ref="B67:C67"/>
    <mergeCell ref="B68:C68"/>
    <mergeCell ref="B69:C69"/>
    <mergeCell ref="B70:C70"/>
    <mergeCell ref="B83:C83"/>
    <mergeCell ref="D83:N83"/>
    <mergeCell ref="B84:C84"/>
    <mergeCell ref="D84:N84"/>
    <mergeCell ref="B85:C85"/>
    <mergeCell ref="D85:N85"/>
    <mergeCell ref="B79:C79"/>
    <mergeCell ref="D79:E79"/>
    <mergeCell ref="F79:H79"/>
    <mergeCell ref="J79:M79"/>
    <mergeCell ref="B80:C80"/>
    <mergeCell ref="D80:E80"/>
    <mergeCell ref="F80:H80"/>
    <mergeCell ref="J80:M80"/>
    <mergeCell ref="B94:E94"/>
    <mergeCell ref="F94:I94"/>
    <mergeCell ref="J94:N94"/>
    <mergeCell ref="B86:C86"/>
    <mergeCell ref="D86:N86"/>
    <mergeCell ref="B87:C87"/>
    <mergeCell ref="D87:N87"/>
    <mergeCell ref="B88:C88"/>
    <mergeCell ref="D88:N88"/>
    <mergeCell ref="B89:C89"/>
    <mergeCell ref="D89:N89"/>
    <mergeCell ref="D90:N90"/>
    <mergeCell ref="D91:N91"/>
    <mergeCell ref="D92:N92"/>
    <mergeCell ref="B81:C81"/>
    <mergeCell ref="D81:E81"/>
    <mergeCell ref="F81:H81"/>
    <mergeCell ref="J81:M81"/>
  </mergeCells>
  <pageMargins left="1.1023622047244095" right="0.70866141732283472" top="0.74803149606299213" bottom="0.74803149606299213" header="0.31496062992125984" footer="0.31496062992125984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A04C-407D-4089-8F0F-D14162937AD0}">
  <sheetPr>
    <pageSetUpPr fitToPage="1"/>
  </sheetPr>
  <dimension ref="B1:N94"/>
  <sheetViews>
    <sheetView showGridLines="0" view="pageBreakPreview" zoomScale="90" zoomScaleNormal="90" zoomScaleSheetLayoutView="90" workbookViewId="0">
      <selection activeCell="C91" sqref="C91"/>
    </sheetView>
  </sheetViews>
  <sheetFormatPr defaultColWidth="11.5703125" defaultRowHeight="14.25"/>
  <cols>
    <col min="1" max="1" width="8.28515625" style="4" customWidth="1"/>
    <col min="2" max="14" width="13.668870192307692" style="4" customWidth="1"/>
    <col min="15" max="15" width="5.85546875" style="4" customWidth="1"/>
    <col min="16" max="16384" width="11.5703125" style="4"/>
  </cols>
  <sheetData>
    <row r="1" spans="2:14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2:14">
      <c r="B2" s="5"/>
      <c r="N2" s="6"/>
    </row>
    <row r="3" spans="2:14" ht="23.25">
      <c r="B3" s="5"/>
      <c r="D3" s="180" t="s">
        <v>0</v>
      </c>
      <c r="E3" s="180"/>
      <c r="F3" s="180"/>
      <c r="G3" s="180"/>
      <c r="H3" s="180"/>
      <c r="I3" s="180"/>
      <c r="J3" s="180"/>
      <c r="K3" s="180"/>
      <c r="N3" s="6"/>
    </row>
    <row r="4" spans="2:14" ht="21" thickBot="1">
      <c r="B4" s="5"/>
      <c r="D4" s="7"/>
      <c r="E4" s="7"/>
      <c r="F4" s="7"/>
      <c r="G4" s="7"/>
      <c r="H4" s="7"/>
      <c r="I4" s="8"/>
      <c r="J4" s="8"/>
      <c r="K4" s="8"/>
      <c r="L4" s="8"/>
      <c r="N4" s="6"/>
    </row>
    <row r="5" spans="2:14" ht="15.75" customHeight="1">
      <c r="B5" s="203" t="s">
        <v>122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5"/>
    </row>
    <row r="6" spans="2:14" ht="15.75" customHeight="1">
      <c r="B6" s="206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8"/>
    </row>
    <row r="7" spans="2:14" ht="14.45" customHeight="1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1"/>
    </row>
    <row r="8" spans="2:14" ht="14.45" customHeight="1">
      <c r="B8" s="102"/>
      <c r="C8"/>
      <c r="D8"/>
      <c r="E8"/>
      <c r="F8"/>
      <c r="G8"/>
      <c r="H8"/>
      <c r="I8"/>
      <c r="J8"/>
      <c r="K8"/>
      <c r="L8"/>
      <c r="M8"/>
      <c r="N8" s="103"/>
    </row>
    <row r="9" spans="2:14" ht="15" customHeight="1">
      <c r="B9" s="102"/>
      <c r="C9"/>
      <c r="D9"/>
      <c r="E9"/>
      <c r="F9"/>
      <c r="G9"/>
      <c r="H9"/>
      <c r="I9"/>
      <c r="J9"/>
      <c r="K9"/>
      <c r="L9"/>
      <c r="M9"/>
      <c r="N9" s="103"/>
    </row>
    <row r="10" spans="2:14" ht="15" customHeight="1">
      <c r="B10" s="102"/>
      <c r="C10"/>
      <c r="D10"/>
      <c r="E10"/>
      <c r="F10"/>
      <c r="G10"/>
      <c r="H10"/>
      <c r="I10"/>
      <c r="J10"/>
      <c r="K10"/>
      <c r="L10"/>
      <c r="M10"/>
      <c r="N10" s="103"/>
    </row>
    <row r="11" spans="2:14" ht="9" customHeight="1">
      <c r="B11" s="104"/>
      <c r="N11" s="105"/>
    </row>
    <row r="12" spans="2:14" ht="16.899999999999999" customHeight="1">
      <c r="B12" s="102"/>
      <c r="C12"/>
      <c r="D12"/>
      <c r="E12"/>
      <c r="F12"/>
      <c r="G12"/>
      <c r="H12"/>
      <c r="I12"/>
      <c r="J12"/>
      <c r="K12"/>
      <c r="L12"/>
      <c r="M12"/>
      <c r="N12" s="103"/>
    </row>
    <row r="13" spans="2:14" ht="15">
      <c r="B13" s="102"/>
      <c r="C13"/>
      <c r="D13"/>
      <c r="E13"/>
      <c r="F13"/>
      <c r="G13"/>
      <c r="H13"/>
      <c r="I13"/>
      <c r="J13"/>
      <c r="K13"/>
      <c r="L13"/>
      <c r="M13"/>
      <c r="N13" s="103"/>
    </row>
    <row r="14" spans="2:14" ht="18" customHeight="1">
      <c r="B14" s="102"/>
      <c r="C14"/>
      <c r="D14"/>
      <c r="E14"/>
      <c r="F14"/>
      <c r="G14"/>
      <c r="H14"/>
      <c r="I14"/>
      <c r="J14"/>
      <c r="K14"/>
      <c r="L14"/>
      <c r="M14"/>
      <c r="N14" s="103"/>
    </row>
    <row r="15" spans="2:14" ht="18" customHeight="1">
      <c r="B15" s="102"/>
      <c r="C15"/>
      <c r="D15"/>
      <c r="E15"/>
      <c r="F15"/>
      <c r="G15"/>
      <c r="H15"/>
      <c r="I15"/>
      <c r="J15"/>
      <c r="K15"/>
      <c r="L15"/>
      <c r="M15"/>
      <c r="N15" s="103"/>
    </row>
    <row r="16" spans="2:14" ht="18" customHeight="1">
      <c r="B16" s="102"/>
      <c r="C16"/>
      <c r="D16"/>
      <c r="E16"/>
      <c r="F16"/>
      <c r="G16"/>
      <c r="H16"/>
      <c r="I16"/>
      <c r="J16"/>
      <c r="K16"/>
      <c r="L16"/>
      <c r="M16"/>
      <c r="N16" s="103"/>
    </row>
    <row r="17" spans="2:14" ht="18" customHeight="1">
      <c r="B17" s="102"/>
      <c r="C17"/>
      <c r="D17"/>
      <c r="E17"/>
      <c r="F17"/>
      <c r="G17"/>
      <c r="H17"/>
      <c r="I17"/>
      <c r="J17"/>
      <c r="K17"/>
      <c r="L17"/>
      <c r="M17"/>
      <c r="N17" s="103"/>
    </row>
    <row r="18" spans="2:14" ht="18" customHeight="1">
      <c r="B18" s="102"/>
      <c r="C18"/>
      <c r="D18"/>
      <c r="E18"/>
      <c r="F18"/>
      <c r="G18"/>
      <c r="H18"/>
      <c r="I18"/>
      <c r="J18"/>
      <c r="K18"/>
      <c r="L18"/>
      <c r="M18"/>
      <c r="N18" s="103"/>
    </row>
    <row r="19" spans="2:14" ht="18" customHeight="1">
      <c r="B19" s="102"/>
      <c r="C19"/>
      <c r="D19"/>
      <c r="E19"/>
      <c r="F19"/>
      <c r="G19"/>
      <c r="H19"/>
      <c r="I19"/>
      <c r="J19"/>
      <c r="K19"/>
      <c r="L19"/>
      <c r="M19"/>
      <c r="N19" s="103"/>
    </row>
    <row r="20" spans="2:14" ht="18" customHeight="1">
      <c r="B20" s="102"/>
      <c r="C20"/>
      <c r="D20"/>
      <c r="E20"/>
      <c r="F20"/>
      <c r="G20"/>
      <c r="H20"/>
      <c r="I20"/>
      <c r="J20"/>
      <c r="K20"/>
      <c r="L20"/>
      <c r="M20"/>
      <c r="N20" s="103"/>
    </row>
    <row r="21" spans="2:14" ht="15">
      <c r="B21" s="102"/>
      <c r="C21"/>
      <c r="D21"/>
      <c r="E21"/>
      <c r="F21"/>
      <c r="G21"/>
      <c r="H21"/>
      <c r="I21"/>
      <c r="J21"/>
      <c r="K21"/>
      <c r="L21"/>
      <c r="M21"/>
      <c r="N21" s="103"/>
    </row>
    <row r="22" spans="2:14" ht="15" customHeight="1">
      <c r="B22" s="102"/>
      <c r="C22"/>
      <c r="D22"/>
      <c r="E22"/>
      <c r="F22"/>
      <c r="G22"/>
      <c r="H22"/>
      <c r="I22"/>
      <c r="J22"/>
      <c r="K22"/>
      <c r="L22"/>
      <c r="M22"/>
      <c r="N22" s="103"/>
    </row>
    <row r="23" spans="2:14" ht="15">
      <c r="B23" s="102"/>
      <c r="C23"/>
      <c r="D23"/>
      <c r="E23"/>
      <c r="F23"/>
      <c r="G23"/>
      <c r="H23"/>
      <c r="I23"/>
      <c r="J23"/>
      <c r="K23"/>
      <c r="L23"/>
      <c r="M23"/>
      <c r="N23" s="103"/>
    </row>
    <row r="24" spans="2:14" ht="14.45" customHeight="1">
      <c r="B24" s="102"/>
      <c r="C24"/>
      <c r="D24"/>
      <c r="E24"/>
      <c r="F24"/>
      <c r="G24"/>
      <c r="H24"/>
      <c r="I24"/>
      <c r="J24"/>
      <c r="K24"/>
      <c r="L24"/>
      <c r="M24"/>
      <c r="N24" s="103"/>
    </row>
    <row r="25" spans="2:14" ht="15">
      <c r="B25" s="102"/>
      <c r="C25"/>
      <c r="D25"/>
      <c r="E25"/>
      <c r="F25"/>
      <c r="G25"/>
      <c r="H25"/>
      <c r="I25"/>
      <c r="J25"/>
      <c r="K25"/>
      <c r="L25"/>
      <c r="M25"/>
      <c r="N25" s="103"/>
    </row>
    <row r="26" spans="2:14" ht="15">
      <c r="B26" s="102"/>
      <c r="C26"/>
      <c r="D26"/>
      <c r="E26"/>
      <c r="F26"/>
      <c r="G26"/>
      <c r="H26"/>
      <c r="I26"/>
      <c r="J26"/>
      <c r="K26"/>
      <c r="L26"/>
      <c r="M26"/>
      <c r="N26" s="103"/>
    </row>
    <row r="27" spans="2:14" ht="15">
      <c r="B27" s="104"/>
      <c r="C27"/>
      <c r="D27"/>
      <c r="E27"/>
      <c r="F27"/>
      <c r="G27"/>
      <c r="H27"/>
      <c r="I27"/>
      <c r="J27"/>
      <c r="K27"/>
      <c r="L27"/>
      <c r="M27"/>
      <c r="N27" s="103"/>
    </row>
    <row r="28" spans="2:14" ht="15">
      <c r="B28" s="102"/>
      <c r="C28"/>
      <c r="D28"/>
      <c r="E28"/>
      <c r="F28"/>
      <c r="G28"/>
      <c r="H28"/>
      <c r="I28"/>
      <c r="J28"/>
      <c r="K28"/>
      <c r="L28"/>
      <c r="M28"/>
      <c r="N28" s="103"/>
    </row>
    <row r="29" spans="2:14" ht="15">
      <c r="B29" s="104"/>
      <c r="C29"/>
      <c r="D29"/>
      <c r="E29"/>
      <c r="F29"/>
      <c r="G29"/>
      <c r="H29"/>
      <c r="I29"/>
      <c r="J29"/>
      <c r="K29"/>
      <c r="L29"/>
      <c r="M29"/>
      <c r="N29" s="103"/>
    </row>
    <row r="30" spans="2:14" ht="15">
      <c r="B30" s="102"/>
      <c r="C30"/>
      <c r="D30"/>
      <c r="E30"/>
      <c r="F30"/>
      <c r="G30"/>
      <c r="H30"/>
      <c r="I30"/>
      <c r="J30"/>
      <c r="K30"/>
      <c r="L30"/>
      <c r="M30"/>
      <c r="N30" s="103"/>
    </row>
    <row r="31" spans="2:14" ht="15">
      <c r="B31" s="102"/>
      <c r="C31"/>
      <c r="D31"/>
      <c r="E31"/>
      <c r="F31"/>
      <c r="G31"/>
      <c r="H31"/>
      <c r="I31"/>
      <c r="J31"/>
      <c r="K31"/>
      <c r="L31"/>
      <c r="M31"/>
      <c r="N31" s="103"/>
    </row>
    <row r="32" spans="2:14" ht="15">
      <c r="B32" s="102"/>
      <c r="C32"/>
      <c r="D32"/>
      <c r="E32"/>
      <c r="F32"/>
      <c r="G32"/>
      <c r="H32"/>
      <c r="I32"/>
      <c r="J32"/>
      <c r="K32"/>
      <c r="L32"/>
      <c r="M32"/>
      <c r="N32" s="103"/>
    </row>
    <row r="33" spans="2:14" ht="15">
      <c r="B33" s="104"/>
      <c r="C33"/>
      <c r="D33"/>
      <c r="E33"/>
      <c r="F33"/>
      <c r="G33"/>
      <c r="H33"/>
      <c r="I33"/>
      <c r="J33"/>
      <c r="K33"/>
      <c r="L33"/>
      <c r="M33"/>
      <c r="N33" s="103"/>
    </row>
    <row r="34" spans="2:14" ht="15">
      <c r="B34" s="102"/>
      <c r="C34"/>
      <c r="D34"/>
      <c r="E34"/>
      <c r="F34"/>
      <c r="G34"/>
      <c r="H34"/>
      <c r="I34"/>
      <c r="J34"/>
      <c r="K34"/>
      <c r="L34"/>
      <c r="M34"/>
      <c r="N34" s="103"/>
    </row>
    <row r="35" spans="2:14" ht="15">
      <c r="B35" s="102"/>
      <c r="C35"/>
      <c r="D35"/>
      <c r="E35"/>
      <c r="F35"/>
      <c r="G35"/>
      <c r="H35"/>
      <c r="I35"/>
      <c r="J35"/>
      <c r="K35"/>
      <c r="L35"/>
      <c r="M35"/>
      <c r="N35" s="103"/>
    </row>
    <row r="36" spans="2:14" ht="15">
      <c r="B36" s="102"/>
      <c r="C36"/>
      <c r="D36"/>
      <c r="E36"/>
      <c r="F36"/>
      <c r="G36"/>
      <c r="H36"/>
      <c r="I36"/>
      <c r="J36"/>
      <c r="K36"/>
      <c r="L36"/>
      <c r="M36"/>
      <c r="N36" s="103"/>
    </row>
    <row r="37" spans="2:14" ht="15">
      <c r="B37" s="102"/>
      <c r="C37"/>
      <c r="D37"/>
      <c r="E37"/>
      <c r="F37"/>
      <c r="G37"/>
      <c r="H37"/>
      <c r="I37"/>
      <c r="J37"/>
      <c r="K37"/>
      <c r="L37"/>
      <c r="M37"/>
      <c r="N37" s="103"/>
    </row>
    <row r="38" spans="2:14" ht="15">
      <c r="B38" s="102"/>
      <c r="C38"/>
      <c r="D38"/>
      <c r="E38"/>
      <c r="F38"/>
      <c r="G38"/>
      <c r="H38"/>
      <c r="I38"/>
      <c r="J38"/>
      <c r="K38"/>
      <c r="L38"/>
      <c r="M38"/>
      <c r="N38" s="103"/>
    </row>
    <row r="39" spans="2:14" ht="15" customHeight="1">
      <c r="B39" s="102"/>
      <c r="C39"/>
      <c r="D39"/>
      <c r="E39"/>
      <c r="F39"/>
      <c r="G39"/>
      <c r="H39"/>
      <c r="I39"/>
      <c r="J39"/>
      <c r="K39"/>
      <c r="L39"/>
      <c r="M39"/>
      <c r="N39" s="103"/>
    </row>
    <row r="40" spans="2:14" ht="15">
      <c r="B40" s="102"/>
      <c r="C40"/>
      <c r="D40"/>
      <c r="E40"/>
      <c r="F40"/>
      <c r="G40"/>
      <c r="H40"/>
      <c r="I40"/>
      <c r="J40"/>
      <c r="K40"/>
      <c r="L40"/>
      <c r="M40"/>
      <c r="N40" s="103"/>
    </row>
    <row r="41" spans="2:14" ht="14.45" customHeight="1">
      <c r="B41" s="102"/>
      <c r="C41"/>
      <c r="D41"/>
      <c r="E41"/>
      <c r="F41"/>
      <c r="G41"/>
      <c r="H41"/>
      <c r="I41"/>
      <c r="J41"/>
      <c r="K41"/>
      <c r="L41"/>
      <c r="M41"/>
      <c r="N41" s="103"/>
    </row>
    <row r="42" spans="2:14" ht="15">
      <c r="B42" s="102"/>
      <c r="C42"/>
      <c r="D42"/>
      <c r="E42"/>
      <c r="F42"/>
      <c r="G42"/>
      <c r="H42"/>
      <c r="I42"/>
      <c r="J42"/>
      <c r="K42"/>
      <c r="L42"/>
      <c r="M42"/>
      <c r="N42" s="103"/>
    </row>
    <row r="43" spans="2:14" ht="15">
      <c r="B43" s="102"/>
      <c r="C43"/>
      <c r="D43"/>
      <c r="E43"/>
      <c r="F43"/>
      <c r="G43"/>
      <c r="H43"/>
      <c r="I43"/>
      <c r="J43"/>
      <c r="K43"/>
      <c r="L43"/>
      <c r="M43"/>
      <c r="N43" s="103"/>
    </row>
    <row r="44" spans="2:14" ht="15">
      <c r="B44" s="102"/>
      <c r="C44"/>
      <c r="D44"/>
      <c r="E44"/>
      <c r="F44"/>
      <c r="G44"/>
      <c r="H44"/>
      <c r="I44"/>
      <c r="J44"/>
      <c r="K44"/>
      <c r="L44"/>
      <c r="M44"/>
      <c r="N44" s="103"/>
    </row>
    <row r="45" spans="2:14" ht="15">
      <c r="B45" s="102"/>
      <c r="C45"/>
      <c r="D45"/>
      <c r="E45"/>
      <c r="F45"/>
      <c r="G45"/>
      <c r="H45"/>
      <c r="I45"/>
      <c r="J45"/>
      <c r="K45"/>
      <c r="L45"/>
      <c r="M45"/>
      <c r="N45" s="103"/>
    </row>
    <row r="46" spans="2:14" ht="15">
      <c r="B46" s="102"/>
      <c r="C46"/>
      <c r="D46"/>
      <c r="E46"/>
      <c r="F46"/>
      <c r="G46"/>
      <c r="H46"/>
      <c r="I46"/>
      <c r="J46"/>
      <c r="K46"/>
      <c r="L46"/>
      <c r="M46"/>
      <c r="N46" s="103"/>
    </row>
    <row r="47" spans="2:14" ht="15">
      <c r="B47" s="102"/>
      <c r="C47"/>
      <c r="D47"/>
      <c r="E47"/>
      <c r="F47"/>
      <c r="G47"/>
      <c r="H47"/>
      <c r="I47"/>
      <c r="J47"/>
      <c r="K47"/>
      <c r="L47"/>
      <c r="M47"/>
      <c r="N47" s="103"/>
    </row>
    <row r="48" spans="2:14" ht="15">
      <c r="B48" s="102"/>
      <c r="C48"/>
      <c r="D48"/>
      <c r="E48"/>
      <c r="F48"/>
      <c r="G48"/>
      <c r="H48"/>
      <c r="I48"/>
      <c r="J48"/>
      <c r="K48"/>
      <c r="L48"/>
      <c r="M48"/>
      <c r="N48" s="103"/>
    </row>
    <row r="49" spans="2:14" ht="15">
      <c r="B49" s="102"/>
      <c r="C49"/>
      <c r="D49"/>
      <c r="E49"/>
      <c r="F49"/>
      <c r="G49"/>
      <c r="H49"/>
      <c r="I49"/>
      <c r="J49"/>
      <c r="K49"/>
      <c r="L49"/>
      <c r="M49"/>
      <c r="N49" s="103"/>
    </row>
    <row r="50" spans="2:14" ht="15">
      <c r="B50" s="102"/>
      <c r="C50"/>
      <c r="D50"/>
      <c r="E50"/>
      <c r="F50"/>
      <c r="G50"/>
      <c r="H50"/>
      <c r="I50"/>
      <c r="J50"/>
      <c r="K50"/>
      <c r="L50"/>
      <c r="M50"/>
      <c r="N50" s="103"/>
    </row>
    <row r="51" spans="2:14" ht="15">
      <c r="B51" s="102"/>
      <c r="C51"/>
      <c r="D51"/>
      <c r="E51"/>
      <c r="F51"/>
      <c r="G51"/>
      <c r="H51"/>
      <c r="I51"/>
      <c r="J51"/>
      <c r="K51"/>
      <c r="L51"/>
      <c r="M51"/>
      <c r="N51" s="103"/>
    </row>
    <row r="52" spans="2:14" ht="15">
      <c r="B52" s="102"/>
      <c r="C52"/>
      <c r="D52"/>
      <c r="E52"/>
      <c r="F52"/>
      <c r="G52"/>
      <c r="H52"/>
      <c r="I52"/>
      <c r="J52"/>
      <c r="K52"/>
      <c r="L52"/>
      <c r="M52"/>
      <c r="N52" s="103"/>
    </row>
    <row r="53" spans="2:14" ht="15">
      <c r="B53" s="102"/>
      <c r="C53"/>
      <c r="D53"/>
      <c r="E53"/>
      <c r="F53"/>
      <c r="G53"/>
      <c r="H53"/>
      <c r="I53"/>
      <c r="J53"/>
      <c r="K53"/>
      <c r="L53"/>
      <c r="M53"/>
      <c r="N53" s="103"/>
    </row>
    <row r="54" spans="2:14" ht="15">
      <c r="B54" s="102"/>
      <c r="C54"/>
      <c r="D54"/>
      <c r="E54"/>
      <c r="F54"/>
      <c r="G54"/>
      <c r="H54"/>
      <c r="I54"/>
      <c r="J54"/>
      <c r="K54"/>
      <c r="L54"/>
      <c r="M54"/>
      <c r="N54" s="103"/>
    </row>
    <row r="55" spans="2:14" ht="15">
      <c r="B55" s="102"/>
      <c r="C55"/>
      <c r="D55"/>
      <c r="E55"/>
      <c r="F55"/>
      <c r="G55"/>
      <c r="H55"/>
      <c r="I55"/>
      <c r="J55"/>
      <c r="K55"/>
      <c r="L55"/>
      <c r="M55"/>
      <c r="N55" s="103"/>
    </row>
    <row r="56" spans="2:14" ht="15">
      <c r="B56" s="102"/>
      <c r="C56"/>
      <c r="D56"/>
      <c r="E56"/>
      <c r="F56"/>
      <c r="G56"/>
      <c r="H56"/>
      <c r="I56"/>
      <c r="J56"/>
      <c r="K56"/>
      <c r="L56"/>
      <c r="M56"/>
      <c r="N56" s="103"/>
    </row>
    <row r="57" spans="2:14" ht="15">
      <c r="B57" s="102"/>
      <c r="C57"/>
      <c r="D57"/>
      <c r="E57"/>
      <c r="F57"/>
      <c r="G57"/>
      <c r="H57"/>
      <c r="I57"/>
      <c r="J57"/>
      <c r="K57"/>
      <c r="L57"/>
      <c r="M57"/>
      <c r="N57" s="103"/>
    </row>
    <row r="58" spans="2:14" ht="15" customHeight="1">
      <c r="B58" s="102"/>
      <c r="C58"/>
      <c r="D58"/>
      <c r="E58"/>
      <c r="F58"/>
      <c r="G58"/>
      <c r="H58"/>
      <c r="I58"/>
      <c r="J58"/>
      <c r="K58"/>
      <c r="L58"/>
      <c r="M58"/>
      <c r="N58" s="103"/>
    </row>
    <row r="59" spans="2:14" ht="15">
      <c r="B59" s="102"/>
      <c r="C59"/>
      <c r="D59"/>
      <c r="E59"/>
      <c r="F59"/>
      <c r="G59"/>
      <c r="H59"/>
      <c r="I59"/>
      <c r="J59"/>
      <c r="K59"/>
      <c r="L59"/>
      <c r="M59"/>
      <c r="N59" s="103"/>
    </row>
    <row r="60" spans="2:14" ht="14.45" customHeight="1">
      <c r="B60" s="102"/>
      <c r="C60"/>
      <c r="D60"/>
      <c r="E60"/>
      <c r="F60"/>
      <c r="G60"/>
      <c r="H60"/>
      <c r="I60"/>
      <c r="J60"/>
      <c r="K60"/>
      <c r="L60"/>
      <c r="M60"/>
      <c r="N60" s="103"/>
    </row>
    <row r="61" spans="2:14" ht="15">
      <c r="B61" s="102"/>
      <c r="C61"/>
      <c r="D61"/>
      <c r="E61"/>
      <c r="F61"/>
      <c r="G61"/>
      <c r="H61"/>
      <c r="I61"/>
      <c r="J61"/>
      <c r="K61"/>
      <c r="L61"/>
      <c r="M61"/>
      <c r="N61" s="103"/>
    </row>
    <row r="62" spans="2:14" ht="15">
      <c r="B62" s="104"/>
      <c r="C62"/>
      <c r="D62"/>
      <c r="E62"/>
      <c r="F62"/>
      <c r="G62"/>
      <c r="H62"/>
      <c r="I62"/>
      <c r="J62"/>
      <c r="K62"/>
      <c r="L62"/>
      <c r="M62"/>
      <c r="N62" s="103"/>
    </row>
    <row r="63" spans="2:14" ht="15">
      <c r="B63" s="102"/>
      <c r="C63"/>
      <c r="D63"/>
      <c r="E63"/>
      <c r="F63"/>
      <c r="G63"/>
      <c r="H63"/>
      <c r="I63"/>
      <c r="J63"/>
      <c r="K63"/>
      <c r="L63"/>
      <c r="M63"/>
      <c r="N63" s="103"/>
    </row>
    <row r="64" spans="2:14" ht="15">
      <c r="B64" s="102"/>
      <c r="C64"/>
      <c r="D64"/>
      <c r="E64"/>
      <c r="F64"/>
      <c r="G64"/>
      <c r="H64"/>
      <c r="I64"/>
      <c r="J64"/>
      <c r="K64"/>
      <c r="L64"/>
      <c r="M64"/>
      <c r="N64" s="103"/>
    </row>
    <row r="65" spans="2:14" ht="15">
      <c r="B65" s="102"/>
      <c r="C65"/>
      <c r="D65"/>
      <c r="E65"/>
      <c r="F65"/>
      <c r="G65"/>
      <c r="H65"/>
      <c r="I65"/>
      <c r="J65"/>
      <c r="K65"/>
      <c r="L65"/>
      <c r="M65"/>
      <c r="N65" s="103"/>
    </row>
    <row r="66" spans="2:14" ht="15">
      <c r="B66" s="102"/>
      <c r="C66"/>
      <c r="D66"/>
      <c r="E66"/>
      <c r="F66"/>
      <c r="G66"/>
      <c r="H66"/>
      <c r="I66"/>
      <c r="J66"/>
      <c r="K66"/>
      <c r="L66"/>
      <c r="M66"/>
      <c r="N66" s="103"/>
    </row>
    <row r="67" spans="2:14" ht="15">
      <c r="B67" s="104"/>
      <c r="C67"/>
      <c r="D67"/>
      <c r="E67"/>
      <c r="F67"/>
      <c r="G67"/>
      <c r="H67"/>
      <c r="I67"/>
      <c r="J67"/>
      <c r="K67"/>
      <c r="L67"/>
      <c r="M67"/>
      <c r="N67" s="103"/>
    </row>
    <row r="68" spans="2:14" ht="15">
      <c r="B68" s="102"/>
      <c r="C68"/>
      <c r="D68"/>
      <c r="E68"/>
      <c r="F68"/>
      <c r="G68"/>
      <c r="H68"/>
      <c r="I68"/>
      <c r="J68"/>
      <c r="K68"/>
      <c r="L68"/>
      <c r="M68"/>
      <c r="N68" s="103"/>
    </row>
    <row r="69" spans="2:14" ht="15">
      <c r="B69" s="102"/>
      <c r="C69"/>
      <c r="D69"/>
      <c r="E69"/>
      <c r="F69"/>
      <c r="G69"/>
      <c r="H69"/>
      <c r="I69"/>
      <c r="J69"/>
      <c r="K69"/>
      <c r="L69"/>
      <c r="M69"/>
      <c r="N69" s="103"/>
    </row>
    <row r="70" spans="2:14" ht="15">
      <c r="B70" s="102"/>
      <c r="C70"/>
      <c r="D70"/>
      <c r="E70"/>
      <c r="F70"/>
      <c r="G70"/>
      <c r="H70"/>
      <c r="I70"/>
      <c r="J70"/>
      <c r="K70"/>
      <c r="L70"/>
      <c r="M70"/>
      <c r="N70" s="103"/>
    </row>
    <row r="71" spans="2:14" ht="15">
      <c r="B71" s="102"/>
      <c r="C71"/>
      <c r="D71"/>
      <c r="E71"/>
      <c r="F71"/>
      <c r="G71"/>
      <c r="H71"/>
      <c r="I71"/>
      <c r="J71"/>
      <c r="K71"/>
      <c r="L71"/>
      <c r="M71"/>
      <c r="N71" s="103"/>
    </row>
    <row r="72" spans="2:14" ht="15">
      <c r="B72" s="102"/>
      <c r="C72"/>
      <c r="D72"/>
      <c r="E72"/>
      <c r="F72"/>
      <c r="G72"/>
      <c r="H72"/>
      <c r="I72"/>
      <c r="J72"/>
      <c r="K72"/>
      <c r="L72"/>
      <c r="M72"/>
      <c r="N72" s="103"/>
    </row>
    <row r="73" spans="2:14" ht="15">
      <c r="B73" s="102"/>
      <c r="C73"/>
      <c r="D73"/>
      <c r="E73"/>
      <c r="F73"/>
      <c r="G73"/>
      <c r="H73"/>
      <c r="I73"/>
      <c r="J73"/>
      <c r="K73"/>
      <c r="L73"/>
      <c r="M73"/>
      <c r="N73" s="103"/>
    </row>
    <row r="74" spans="2:14" ht="15">
      <c r="B74" s="102"/>
      <c r="C74"/>
      <c r="D74"/>
      <c r="E74"/>
      <c r="F74"/>
      <c r="G74"/>
      <c r="H74"/>
      <c r="I74"/>
      <c r="J74"/>
      <c r="K74"/>
      <c r="L74"/>
      <c r="M74"/>
      <c r="N74" s="103"/>
    </row>
    <row r="75" spans="2:14" ht="15">
      <c r="B75" s="102"/>
      <c r="C75"/>
      <c r="D75"/>
      <c r="E75"/>
      <c r="F75"/>
      <c r="G75"/>
      <c r="H75"/>
      <c r="I75"/>
      <c r="J75"/>
      <c r="K75"/>
      <c r="L75"/>
      <c r="M75"/>
      <c r="N75" s="103"/>
    </row>
    <row r="76" spans="2:14" ht="15">
      <c r="B76" s="102"/>
      <c r="C76"/>
      <c r="D76"/>
      <c r="E76"/>
      <c r="F76"/>
      <c r="G76"/>
      <c r="H76"/>
      <c r="I76"/>
      <c r="J76"/>
      <c r="K76"/>
      <c r="L76"/>
      <c r="M76"/>
      <c r="N76" s="103"/>
    </row>
    <row r="77" spans="2:14" ht="15" customHeight="1">
      <c r="B77" s="102"/>
      <c r="C77"/>
      <c r="D77"/>
      <c r="E77"/>
      <c r="F77"/>
      <c r="G77"/>
      <c r="H77"/>
      <c r="I77"/>
      <c r="J77"/>
      <c r="K77"/>
      <c r="L77"/>
      <c r="M77"/>
      <c r="N77" s="103"/>
    </row>
    <row r="78" spans="2:14" ht="15" customHeight="1">
      <c r="B78" s="102"/>
      <c r="C78"/>
      <c r="D78"/>
      <c r="E78"/>
      <c r="F78"/>
      <c r="G78"/>
      <c r="H78"/>
      <c r="I78"/>
      <c r="J78"/>
      <c r="K78"/>
      <c r="L78"/>
      <c r="M78"/>
      <c r="N78" s="103"/>
    </row>
    <row r="79" spans="2:14" ht="14.45" customHeight="1">
      <c r="B79" s="102"/>
      <c r="C79"/>
      <c r="D79"/>
      <c r="E79"/>
      <c r="F79"/>
      <c r="G79"/>
      <c r="H79"/>
      <c r="I79"/>
      <c r="J79"/>
      <c r="K79"/>
      <c r="L79"/>
      <c r="M79"/>
      <c r="N79" s="103"/>
    </row>
    <row r="80" spans="2:14" ht="15">
      <c r="B80" s="102"/>
      <c r="C80"/>
      <c r="D80"/>
      <c r="E80"/>
      <c r="F80"/>
      <c r="G80"/>
      <c r="H80"/>
      <c r="I80"/>
      <c r="J80"/>
      <c r="K80"/>
      <c r="L80"/>
      <c r="M80"/>
      <c r="N80" s="103"/>
    </row>
    <row r="81" spans="2:14" ht="15">
      <c r="B81" s="102"/>
      <c r="C81"/>
      <c r="D81"/>
      <c r="E81"/>
      <c r="F81"/>
      <c r="G81"/>
      <c r="H81"/>
      <c r="I81"/>
      <c r="J81"/>
      <c r="K81"/>
      <c r="L81"/>
      <c r="M81"/>
      <c r="N81" s="103"/>
    </row>
    <row r="82" spans="2:14" ht="15">
      <c r="B82" s="102"/>
      <c r="C82"/>
      <c r="D82"/>
      <c r="E82"/>
      <c r="F82"/>
      <c r="G82"/>
      <c r="H82"/>
      <c r="I82"/>
      <c r="J82"/>
      <c r="K82"/>
      <c r="L82"/>
      <c r="M82"/>
      <c r="N82" s="103"/>
    </row>
    <row r="83" spans="2:14" ht="15">
      <c r="B83" s="102"/>
      <c r="C83"/>
      <c r="D83"/>
      <c r="E83"/>
      <c r="F83"/>
      <c r="G83"/>
      <c r="H83"/>
      <c r="I83"/>
      <c r="J83"/>
      <c r="K83"/>
      <c r="L83"/>
      <c r="M83"/>
      <c r="N83" s="103"/>
    </row>
    <row r="84" spans="2:14" ht="14.45" customHeight="1">
      <c r="B84" s="102"/>
      <c r="C84"/>
      <c r="D84"/>
      <c r="E84"/>
      <c r="F84"/>
      <c r="G84"/>
      <c r="H84"/>
      <c r="I84"/>
      <c r="J84"/>
      <c r="K84"/>
      <c r="L84"/>
      <c r="M84"/>
      <c r="N84" s="103"/>
    </row>
    <row r="85" spans="2:14" ht="15">
      <c r="B85" s="102"/>
      <c r="C85"/>
      <c r="D85"/>
      <c r="E85"/>
      <c r="F85"/>
      <c r="G85"/>
      <c r="H85"/>
      <c r="I85"/>
      <c r="J85"/>
      <c r="K85"/>
      <c r="L85"/>
      <c r="M85"/>
      <c r="N85" s="103"/>
    </row>
    <row r="86" spans="2:14" ht="15">
      <c r="B86" s="102"/>
      <c r="C86"/>
      <c r="D86"/>
      <c r="E86"/>
      <c r="F86"/>
      <c r="G86"/>
      <c r="H86"/>
      <c r="I86"/>
      <c r="J86"/>
      <c r="K86"/>
      <c r="L86"/>
      <c r="M86"/>
      <c r="N86" s="103"/>
    </row>
    <row r="87" spans="2:14" ht="15" customHeight="1">
      <c r="B87" s="102"/>
      <c r="C87"/>
      <c r="D87"/>
      <c r="E87"/>
      <c r="F87"/>
      <c r="G87"/>
      <c r="H87"/>
      <c r="I87"/>
      <c r="J87"/>
      <c r="K87"/>
      <c r="L87"/>
      <c r="M87"/>
      <c r="N87" s="103"/>
    </row>
    <row r="88" spans="2:14" ht="15">
      <c r="B88" s="106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8"/>
    </row>
    <row r="89" spans="2:14" ht="15" customHeight="1">
      <c r="B89" s="114" t="s">
        <v>112</v>
      </c>
      <c r="C89" s="115"/>
      <c r="D89" s="115"/>
      <c r="E89" s="116"/>
      <c r="F89" s="200" t="s">
        <v>113</v>
      </c>
      <c r="G89" s="201"/>
      <c r="H89" s="201"/>
      <c r="I89" s="202"/>
      <c r="J89" s="200" t="s">
        <v>114</v>
      </c>
      <c r="K89" s="201"/>
      <c r="L89" s="201"/>
      <c r="M89" s="201"/>
      <c r="N89" s="202"/>
    </row>
    <row r="90" spans="2:14" ht="34.15" customHeight="1">
      <c r="B90" s="44" t="s">
        <v>115</v>
      </c>
      <c r="C90" s="60" t="str">
        <f>+DR!C95</f>
        <v>Ericson Ramirez</v>
      </c>
      <c r="D90" s="45"/>
      <c r="E90" s="46"/>
      <c r="F90" s="47" t="s">
        <v>117</v>
      </c>
      <c r="G90" s="45" t="str">
        <f>+DR!G95</f>
        <v>Sara Cofré</v>
      </c>
      <c r="H90" s="45"/>
      <c r="I90" s="46"/>
      <c r="J90" s="47" t="s">
        <v>117</v>
      </c>
      <c r="K90" s="45"/>
      <c r="L90" s="45"/>
      <c r="M90" s="45"/>
      <c r="N90" s="6"/>
    </row>
    <row r="91" spans="2:14" ht="33.6" customHeight="1">
      <c r="B91" s="48" t="s">
        <v>119</v>
      </c>
      <c r="C91" s="49"/>
      <c r="D91" s="49"/>
      <c r="E91" s="50"/>
      <c r="F91" s="51" t="s">
        <v>119</v>
      </c>
      <c r="G91" s="49"/>
      <c r="H91" s="49"/>
      <c r="I91" s="50"/>
      <c r="J91" s="51" t="s">
        <v>119</v>
      </c>
      <c r="K91" s="49"/>
      <c r="L91" s="49"/>
      <c r="M91" s="49"/>
      <c r="N91" s="6"/>
    </row>
    <row r="92" spans="2:14" ht="35.450000000000003" customHeight="1">
      <c r="B92" s="48" t="s">
        <v>120</v>
      </c>
      <c r="C92" s="61">
        <f>+DR!C97</f>
        <v>0</v>
      </c>
      <c r="D92" s="52"/>
      <c r="E92" s="50"/>
      <c r="F92" s="51" t="s">
        <v>121</v>
      </c>
      <c r="G92" s="61">
        <f>+C92</f>
        <v>0</v>
      </c>
      <c r="H92" s="52"/>
      <c r="I92" s="50"/>
      <c r="J92" s="51" t="s">
        <v>121</v>
      </c>
      <c r="K92" s="52"/>
      <c r="L92" s="52"/>
      <c r="M92" s="52"/>
      <c r="N92" s="6"/>
    </row>
    <row r="93" spans="2:14" ht="15" customHeight="1">
      <c r="B93" s="53"/>
      <c r="C93" s="54"/>
      <c r="D93" s="54"/>
      <c r="E93" s="55"/>
      <c r="F93" s="56"/>
      <c r="G93" s="57"/>
      <c r="H93" s="57"/>
      <c r="I93" s="55"/>
      <c r="J93" s="56"/>
      <c r="K93" s="57"/>
      <c r="L93" s="57"/>
      <c r="M93" s="57"/>
      <c r="N93" s="13"/>
    </row>
    <row r="94" spans="2:14">
      <c r="B94" s="2"/>
    </row>
  </sheetData>
  <mergeCells count="5">
    <mergeCell ref="B89:E89"/>
    <mergeCell ref="F89:I89"/>
    <mergeCell ref="J89:N89"/>
    <mergeCell ref="D3:K3"/>
    <mergeCell ref="B5:N6"/>
  </mergeCells>
  <pageMargins left="1.1023622047244095" right="0.70866141732283472" top="0.74803149606299213" bottom="0.74803149606299213" header="0.31496062992125984" footer="0.31496062992125984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o xmlns="4e3e1d6e-c0a5-427e-bd98-f27f4d429220">
      <UserInfo>
        <DisplayName/>
        <AccountId xsi:nil="true"/>
        <AccountType/>
      </UserInfo>
    </Acceso>
    <TaxCatchAll xmlns="08389072-d8cd-4f01-94ce-f963a2345b7b" xsi:nil="true"/>
    <lcf76f155ced4ddcb4097134ff3c332f xmlns="4e3e1d6e-c0a5-427e-bd98-f27f4d4292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3A51B2CBF5274A8C4FBF3FEC430FBD" ma:contentTypeVersion="14" ma:contentTypeDescription="Crear nuevo documento." ma:contentTypeScope="" ma:versionID="e85d4b76bfbd718f1a01ee2ca608e0a4">
  <xsd:schema xmlns:xsd="http://www.w3.org/2001/XMLSchema" xmlns:xs="http://www.w3.org/2001/XMLSchema" xmlns:p="http://schemas.microsoft.com/office/2006/metadata/properties" xmlns:ns2="4e3e1d6e-c0a5-427e-bd98-f27f4d429220" xmlns:ns3="08389072-d8cd-4f01-94ce-f963a2345b7b" targetNamespace="http://schemas.microsoft.com/office/2006/metadata/properties" ma:root="true" ma:fieldsID="f5b3dd7b3d110b0c9aacd3e3d0e88bad" ns2:_="" ns3:_="">
    <xsd:import namespace="4e3e1d6e-c0a5-427e-bd98-f27f4d429220"/>
    <xsd:import namespace="08389072-d8cd-4f01-94ce-f963a2345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Acces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3e1d6e-c0a5-427e-bd98-f27f4d4292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689e9dc-d331-4c9c-af06-d1a4d9878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Acceso" ma:index="21" nillable="true" ma:displayName="Usuario" ma:format="Dropdown" ma:list="UserInfo" ma:SharePointGroup="0" ma:internalName="Acces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89072-d8cd-4f01-94ce-f963a2345b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6c046e-71dd-454a-af63-fc1370190f8f}" ma:internalName="TaxCatchAll" ma:showField="CatchAllData" ma:web="08389072-d8cd-4f01-94ce-f963a2345b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2E1D3-9B6E-45D7-A4DC-510D4AC560EA}"/>
</file>

<file path=customXml/itemProps2.xml><?xml version="1.0" encoding="utf-8"?>
<ds:datastoreItem xmlns:ds="http://schemas.openxmlformats.org/officeDocument/2006/customXml" ds:itemID="{4D397BF8-FA02-4302-A571-B683FE07E59C}"/>
</file>

<file path=customXml/itemProps3.xml><?xml version="1.0" encoding="utf-8"?>
<ds:datastoreItem xmlns:ds="http://schemas.openxmlformats.org/officeDocument/2006/customXml" ds:itemID="{50D8D8E5-CC60-4126-A4EE-9C07FACB4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Collao</dc:creator>
  <cp:keywords/>
  <dc:description/>
  <cp:lastModifiedBy/>
  <cp:revision/>
  <dcterms:created xsi:type="dcterms:W3CDTF">2019-07-18T00:47:28Z</dcterms:created>
  <dcterms:modified xsi:type="dcterms:W3CDTF">2026-08-21T19:37:11Z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0x010100403A51B2CBF5274A8C4FBF3FEC430FBD</vt:lpwstr>
  </property>
  <property fmtid="{D5CDD505-2E9C-101B-9397-08002B2CF9AE}" pid="3" name="MediaServiceImageTags">
    <vt:lpwstr/>
  </property>
</Properties>
</file>